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17-Surgery Admission" sheetId="1" state="visible" r:id="rId3"/>
    <sheet name="User flow template" sheetId="2" state="visible" r:id="rId4"/>
    <sheet name="Features" sheetId="3" state="visible" r:id="rId5"/>
    <sheet name="Form QA Tracker" sheetId="4" state="hidden" r:id="rId6"/>
    <sheet name="Form Guidance" sheetId="5" state="visible" r:id="rId7"/>
  </sheets>
  <definedNames>
    <definedName function="false" hidden="true" localSheetId="0" name="_xlnm._FilterDatabase" vbProcedure="false">'F17-Surgery Admission'!$A$2:$BP$17</definedName>
    <definedName function="false" hidden="true" localSheetId="1" name="_xlnm._FilterDatabase" vbProcedure="false">'User flow template'!$A$1:$N$1000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<sst xmlns="http://schemas.openxmlformats.org/spreadsheetml/2006/main" count="763" uniqueCount="368">
  <si>
    <t xml:space="preserve">15 concept(s)</t>
  </si>
  <si>
    <t xml:space="preserve">FINALIZED METADATA VERSION - last change on 15/08/2025</t>
  </si>
  <si>
    <t xml:space="preserve">Automatch Suggestions from MSF Source</t>
  </si>
  <si>
    <t xml:space="preserve">Automatch Suggestions from CIEL Source</t>
  </si>
  <si>
    <t xml:space="preserve">Automatch Suggestions from PIH Source</t>
  </si>
  <si>
    <t xml:space="preserve">OCL </t>
  </si>
  <si>
    <t xml:space="preserve">DHIS2</t>
  </si>
  <si>
    <t xml:space="preserve">OpenFn</t>
  </si>
  <si>
    <t xml:space="preserve">F17-Surgery admission form</t>
  </si>
  <si>
    <t xml:space="preserve">Page</t>
  </si>
  <si>
    <t xml:space="preserve">Section</t>
  </si>
  <si>
    <t xml:space="preserve">Question #</t>
  </si>
  <si>
    <t xml:space="preserve">Question</t>
  </si>
  <si>
    <t xml:space="preserve">External ID</t>
  </si>
  <si>
    <t xml:space="preserve">Multi-Select Answer External IDs</t>
  </si>
  <si>
    <t xml:space="preserve">Label if different</t>
  </si>
  <si>
    <t xml:space="preserve">Tooltip i</t>
  </si>
  <si>
    <t xml:space="preserve">Datatype</t>
  </si>
  <si>
    <t xml:space="preserve">OCL label check</t>
  </si>
  <si>
    <t xml:space="preserve">OptionSet name</t>
  </si>
  <si>
    <t xml:space="preserve">Label</t>
  </si>
  <si>
    <t xml:space="preserve">MSF Source Suggestion</t>
  </si>
  <si>
    <t xml:space="preserve">MSF Source Description</t>
  </si>
  <si>
    <t xml:space="preserve">MSF Source Datatype</t>
  </si>
  <si>
    <t xml:space="preserve">MSF Source Class</t>
  </si>
  <si>
    <t xml:space="preserve">MSF Source External ID</t>
  </si>
  <si>
    <t xml:space="preserve">MSF Source Score</t>
  </si>
  <si>
    <t xml:space="preserve">CIEL Source Suggestion</t>
  </si>
  <si>
    <t xml:space="preserve">CIEL Source Description</t>
  </si>
  <si>
    <t xml:space="preserve">CIEL Source Datatype</t>
  </si>
  <si>
    <t xml:space="preserve">CIEL Source Class</t>
  </si>
  <si>
    <t xml:space="preserve">CIEL Source External ID</t>
  </si>
  <si>
    <t xml:space="preserve">CIEL Source Score</t>
  </si>
  <si>
    <t xml:space="preserve">PIH Source Suggestion</t>
  </si>
  <si>
    <t xml:space="preserve">PIH Source Description</t>
  </si>
  <si>
    <t xml:space="preserve">PIH Source Datatype</t>
  </si>
  <si>
    <t xml:space="preserve">PIH Source Class</t>
  </si>
  <si>
    <t xml:space="preserve">PIH Source External ID</t>
  </si>
  <si>
    <t xml:space="preserve">PIH Source Score</t>
  </si>
  <si>
    <t xml:space="preserve">Concept found</t>
  </si>
  <si>
    <t xml:space="preserve">OCL validation</t>
  </si>
  <si>
    <t xml:space="preserve">1st occ.</t>
  </si>
  <si>
    <t xml:space="preserve">MSF concept ID</t>
  </si>
  <si>
    <t xml:space="preserve">CIEL concept ID</t>
  </si>
  <si>
    <t xml:space="preserve">OCL name</t>
  </si>
  <si>
    <t xml:space="preserve">OCL definition</t>
  </si>
  <si>
    <t xml:space="preserve">OCL Comments</t>
  </si>
  <si>
    <t xml:space="preserve">Rendering</t>
  </si>
  <si>
    <t xml:space="preserve">Validation (length)</t>
  </si>
  <si>
    <t xml:space="preserve">Default value</t>
  </si>
  <si>
    <t xml:space="preserve">Lower limit</t>
  </si>
  <si>
    <t xml:space="preserve">Upper limit</t>
  </si>
  <si>
    <t xml:space="preserve">Calculation</t>
  </si>
  <si>
    <t xml:space="preserve">Skip logic</t>
  </si>
  <si>
    <t xml:space="preserve">Mandatory</t>
  </si>
  <si>
    <t xml:space="preserve">PII / Sensitive</t>
  </si>
  <si>
    <t xml:space="preserve">Anonymization</t>
  </si>
  <si>
    <t xml:space="preserve">Locale</t>
  </si>
  <si>
    <t xml:space="preserve">Translation - Question</t>
  </si>
  <si>
    <t xml:space="preserve">Translation - Tooltip</t>
  </si>
  <si>
    <t xml:space="preserve">Translation - Section</t>
  </si>
  <si>
    <t xml:space="preserve">DHIS2 type</t>
  </si>
  <si>
    <t xml:space="preserve">DHIS2 DE full name</t>
  </si>
  <si>
    <t xml:space="preserve">DHIS2 DE UID</t>
  </si>
  <si>
    <t xml:space="preserve">DHIS2 Option Set name</t>
  </si>
  <si>
    <t xml:space="preserve">DHIS2 Option Set UID</t>
  </si>
  <si>
    <t xml:space="preserve">DHIS2 Option name</t>
  </si>
  <si>
    <t xml:space="preserve">DHIS2 Option UID</t>
  </si>
  <si>
    <t xml:space="preserve">Configuration</t>
  </si>
  <si>
    <t xml:space="preserve">CL DHIS2 DE UID</t>
  </si>
  <si>
    <t xml:space="preserve">Custom Logic</t>
  </si>
  <si>
    <t xml:space="preserve">Comments</t>
  </si>
  <si>
    <t xml:space="preserve">Status</t>
  </si>
  <si>
    <t xml:space="preserve">Skip</t>
  </si>
  <si>
    <t xml:space="preserve">Key</t>
  </si>
  <si>
    <t xml:space="preserve">Count</t>
  </si>
  <si>
    <t xml:space="preserve">Question ID</t>
  </si>
  <si>
    <t xml:space="preserve">Admission data</t>
  </si>
  <si>
    <t xml:space="preserve">Admission date</t>
  </si>
  <si>
    <t xml:space="preserve">7f00c65d-de60-467a-8964-fe80c7a85ef0</t>
  </si>
  <si>
    <t xml:space="preserve">Datetime</t>
  </si>
  <si>
    <t xml:space="preserve">Admission date and time</t>
  </si>
  <si>
    <t xml:space="preserve"> </t>
  </si>
  <si>
    <t xml:space="preserve">No</t>
  </si>
  <si>
    <t xml:space="preserve">datetime</t>
  </si>
  <si>
    <t xml:space="preserve">Current date and time</t>
  </si>
  <si>
    <t xml:space="preserve">{leave blank}</t>
  </si>
  <si>
    <t xml:space="preserve">Arabic</t>
  </si>
  <si>
    <t xml:space="preserve">تاريخ الدخول</t>
  </si>
  <si>
    <t xml:space="preserve">بيانات القبول</t>
  </si>
  <si>
    <t xml:space="preserve">DATE</t>
  </si>
  <si>
    <t xml:space="preserve">Surgery-ADM- Admission date</t>
  </si>
  <si>
    <t xml:space="preserve">NA</t>
  </si>
  <si>
    <t xml:space="preserve">DEGa7RaIDTo</t>
  </si>
  <si>
    <t xml:space="preserve">Fill with encounter date</t>
  </si>
  <si>
    <t xml:space="preserve">F17-Surgery admission form|7f00c65d-de60-467a-8964-fe80c7a85ef0</t>
  </si>
  <si>
    <t xml:space="preserve">rfe-forms-admissionDate</t>
  </si>
  <si>
    <t xml:space="preserve">Surgery-ADM- Consultation date</t>
  </si>
  <si>
    <t xml:space="preserve">aUSp8oQZIWu</t>
  </si>
  <si>
    <t xml:space="preserve">F17-Surgery admission form|</t>
  </si>
  <si>
    <t xml:space="preserve">TIME</t>
  </si>
  <si>
    <t xml:space="preserve">Surgery-ADM- Admission time</t>
  </si>
  <si>
    <t xml:space="preserve">mDOUf2zzwS2</t>
  </si>
  <si>
    <t xml:space="preserve">Fill with encounter time</t>
  </si>
  <si>
    <t xml:space="preserve">Admission type</t>
  </si>
  <si>
    <t xml:space="preserve">4dae5b12-070f-4153-b1ca-fbec906106e1</t>
  </si>
  <si>
    <t xml:space="preserve">Coded</t>
  </si>
  <si>
    <t xml:space="preserve">Admission category</t>
  </si>
  <si>
    <t xml:space="preserve">Admission type - Surgery</t>
  </si>
  <si>
    <t xml:space="preserve">radio</t>
  </si>
  <si>
    <t xml:space="preserve">نوع الدخول</t>
  </si>
  <si>
    <t xml:space="preserve">TEXT</t>
  </si>
  <si>
    <t xml:space="preserve">Surgery-ADM- Admission type</t>
  </si>
  <si>
    <t xml:space="preserve">EkrqGLH2aIc</t>
  </si>
  <si>
    <t xml:space="preserve">GL - Admission type</t>
  </si>
  <si>
    <t xml:space="preserve">wTGMuMQQwmQ</t>
  </si>
  <si>
    <t xml:space="preserve">F17-Surgery admission form|4dae5b12-070f-4153-b1ca-fbec906106e1</t>
  </si>
  <si>
    <t xml:space="preserve">rfe-forms-admissionType</t>
  </si>
  <si>
    <t xml:space="preserve">Referred to MSF</t>
  </si>
  <si>
    <t xml:space="preserve">552ad8cb-35de-4d61-ab8c-5c7b698a573a</t>
  </si>
  <si>
    <t xml:space="preserve">Source of initial patient referral</t>
  </si>
  <si>
    <t xml:space="preserve">Yes-no - Surgery</t>
  </si>
  <si>
    <t xml:space="preserve">Yes</t>
  </si>
  <si>
    <t xml:space="preserve">تمت إحالته إلى منظمة أطباء بلا حدود</t>
  </si>
  <si>
    <t xml:space="preserve">Surgery-ADM- Transferred to MSF</t>
  </si>
  <si>
    <t xml:space="preserve">oGU9Nb6yaKC</t>
  </si>
  <si>
    <t xml:space="preserve">Surgery - yes/no</t>
  </si>
  <si>
    <t xml:space="preserve">MaXlQVJOJf2</t>
  </si>
  <si>
    <t xml:space="preserve">F17-Surgery admission form|552ad8cb-35de-4d61-ab8c-5c7b698a573a</t>
  </si>
  <si>
    <t xml:space="preserve">rfe-forms-referredToMsf</t>
  </si>
  <si>
    <t xml:space="preserve">By whom / from where</t>
  </si>
  <si>
    <t xml:space="preserve">93eb9716-6866-4d13-9b8f-59c0a7605a11</t>
  </si>
  <si>
    <t xml:space="preserve">Referral</t>
  </si>
  <si>
    <t xml:space="preserve">Patient referred by - Surgery</t>
  </si>
  <si>
    <t xml:space="preserve">Hide question if [Referred to MSF] !== 'Yes'</t>
  </si>
  <si>
    <r>
      <rPr>
        <sz val="11"/>
        <color theme="1"/>
        <rFont val="FreeSans"/>
        <family val="2"/>
      </rPr>
      <t xml:space="preserve">مُشار إليه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 xml:space="preserve">من قبل من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من أين</t>
    </r>
  </si>
  <si>
    <t xml:space="preserve">Surgery-ADM- by whom / from where</t>
  </si>
  <si>
    <t xml:space="preserve">VE8jEN0qkDt</t>
  </si>
  <si>
    <t xml:space="preserve">Surgery - By whom / from where</t>
  </si>
  <si>
    <t xml:space="preserve">VGxAsbWSV6s</t>
  </si>
  <si>
    <t xml:space="preserve">F17-Surgery admission form|93eb9716-6866-4d13-9b8f-59c0a7605a11</t>
  </si>
  <si>
    <t xml:space="preserve">rfe-forms-byWhomOrFromWhere</t>
  </si>
  <si>
    <t xml:space="preserve">Referred by whom / from where - If other, specify</t>
  </si>
  <si>
    <t xml:space="preserve">790b41ce-e1e7-11e8-b02f-0242ac130002</t>
  </si>
  <si>
    <t xml:space="preserve">If other, specify</t>
  </si>
  <si>
    <t xml:space="preserve">Text</t>
  </si>
  <si>
    <t xml:space="preserve">Other</t>
  </si>
  <si>
    <t xml:space="preserve">text</t>
  </si>
  <si>
    <t xml:space="preserve">Hide question if [By whom / from where] !== 'Other'</t>
  </si>
  <si>
    <t xml:space="preserve">إذا كان غير ذلك، حدد</t>
  </si>
  <si>
    <t xml:space="preserve">F17-Surgery admission form|790b41ce-e1e7-11e8-b02f-0242ac130002</t>
  </si>
  <si>
    <t xml:space="preserve">rfe-forms-ifOtherSpecify</t>
  </si>
  <si>
    <t xml:space="preserve">Patient coming from</t>
  </si>
  <si>
    <t xml:space="preserve">eef5efc1-4d6a-43fb-87e1-4cca9842678d</t>
  </si>
  <si>
    <t xml:space="preserve">If transfer, specify the unit</t>
  </si>
  <si>
    <t xml:space="preserve">Transferred from - Surgery</t>
  </si>
  <si>
    <t xml:space="preserve">Hide question if [Referred to MSF] !== 'No'</t>
  </si>
  <si>
    <t xml:space="preserve">المريض القادم من</t>
  </si>
  <si>
    <t xml:space="preserve">Surgery-ADM- Patient coming from...</t>
  </si>
  <si>
    <t xml:space="preserve">cYWMA5tobi5</t>
  </si>
  <si>
    <t xml:space="preserve">tIapADE9EKD</t>
  </si>
  <si>
    <t xml:space="preserve">F17-Surgery admission form|eef5efc1-4d6a-43fb-87e1-4cca9842678d</t>
  </si>
  <si>
    <t xml:space="preserve">rfe-forms-patientComingFrom</t>
  </si>
  <si>
    <t xml:space="preserve">Patient coming from - If other, specify</t>
  </si>
  <si>
    <t xml:space="preserve">Hide question if [Patient coming from] !== 'Other'</t>
  </si>
  <si>
    <t xml:space="preserve">Surgery-ADM- Patient coming from... - if 'other', specify</t>
  </si>
  <si>
    <t xml:space="preserve">Abb1dfIcVVJ</t>
  </si>
  <si>
    <t xml:space="preserve">rfe-forms-admissionFrom_ifOtherSpecify</t>
  </si>
  <si>
    <t xml:space="preserve">Admission details</t>
  </si>
  <si>
    <t xml:space="preserve">Time since onset of symptoms/injury until admission (hours)</t>
  </si>
  <si>
    <t xml:space="preserve">13d4d6b8-0cd3-46c5-be7b-c3a7565aaca7</t>
  </si>
  <si>
    <t xml:space="preserve">Numeric</t>
  </si>
  <si>
    <t xml:space="preserve">decimalNumber</t>
  </si>
  <si>
    <r>
      <rPr>
        <sz val="11"/>
        <color theme="1"/>
        <rFont val="FreeSans"/>
        <family val="2"/>
      </rPr>
      <t xml:space="preserve">الوقت منذ ظهور الأعراض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FreeSans"/>
        <family val="2"/>
      </rPr>
      <t xml:space="preserve">الإصابة حتى الدخول إلى المستشفى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بالساعات</t>
    </r>
    <r>
      <rPr>
        <sz val="11"/>
        <color theme="1"/>
        <rFont val="Calibri"/>
        <family val="2"/>
        <charset val="1"/>
      </rPr>
      <t xml:space="preserve">)</t>
    </r>
  </si>
  <si>
    <t xml:space="preserve">تفاصيل القبول</t>
  </si>
  <si>
    <t xml:space="preserve">INTEGER_ZERO_OR_POSITIVE</t>
  </si>
  <si>
    <t xml:space="preserve">Surgery-ADM- Time since onset of symptoms/injury until admission</t>
  </si>
  <si>
    <t xml:space="preserve">JgRdwRJ3zWS</t>
  </si>
  <si>
    <t xml:space="preserve">F17-Surgery admission form|13d4d6b8-0cd3-46c5-be7b-c3a7565aaca7</t>
  </si>
  <si>
    <t xml:space="preserve">rfe-forms-timeSinceOnsetOfSymptomsOrInjuryUntilAdmission</t>
  </si>
  <si>
    <t xml:space="preserve">Surgery-ADM- Units</t>
  </si>
  <si>
    <t xml:space="preserve">Surgery - Units</t>
  </si>
  <si>
    <t xml:space="preserve">hMqZO0MIIT1</t>
  </si>
  <si>
    <t xml:space="preserve">Always fill with the value 'hour' -&gt; code = 'hour', UID = 'vYF6BoRQlXj'</t>
  </si>
  <si>
    <t xml:space="preserve">Weight at admission (in kg)</t>
  </si>
  <si>
    <t xml:space="preserve">9e3c4083-21bd-42d4-a2b5-657bc0b8a4a5</t>
  </si>
  <si>
    <t xml:space="preserve">Check in 'Vitals &amp; Biometrics' and fill with updated measurement</t>
  </si>
  <si>
    <t xml:space="preserve">Weight at admission</t>
  </si>
  <si>
    <r>
      <rPr>
        <sz val="11"/>
        <color theme="1"/>
        <rFont val="FreeSans"/>
        <family val="2"/>
      </rPr>
      <t xml:space="preserve">الوزن عند القبول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بالكيلوجرام</t>
    </r>
    <r>
      <rPr>
        <sz val="11"/>
        <color theme="1"/>
        <rFont val="Calibri"/>
        <family val="2"/>
        <charset val="1"/>
      </rPr>
      <t xml:space="preserve">)</t>
    </r>
  </si>
  <si>
    <t xml:space="preserve">التأكد من العلامات الحيوية والبيومترية</t>
  </si>
  <si>
    <t xml:space="preserve">NUMBER</t>
  </si>
  <si>
    <t xml:space="preserve">Surgery-ADM- Weight at admission (in Kg)</t>
  </si>
  <si>
    <t xml:space="preserve">cKC61Th4cr6</t>
  </si>
  <si>
    <t xml:space="preserve">F17-Surgery admission form|9e3c4083-21bd-42d4-a2b5-657bc0b8a4a5</t>
  </si>
  <si>
    <t xml:space="preserve">rfe-forms-weightAtAdmission</t>
  </si>
  <si>
    <t xml:space="preserve">db316f14-259b-40ab-89c5-7d3187967f82</t>
  </si>
  <si>
    <t xml:space="preserve">textarea</t>
  </si>
  <si>
    <t xml:space="preserve">التعليقات</t>
  </si>
  <si>
    <t xml:space="preserve">F17-Surgery admission form|db316f14-259b-40ab-89c5-7d3187967f82</t>
  </si>
  <si>
    <t xml:space="preserve">rfe-forms-comments</t>
  </si>
  <si>
    <t xml:space="preserve">Prescribe new exams and medication with the order basket whenever necessary (after closing this form)</t>
  </si>
  <si>
    <t xml:space="preserve">markdown</t>
  </si>
  <si>
    <r>
      <rPr>
        <sz val="11"/>
        <color theme="1"/>
        <rFont val="FreeSans"/>
        <family val="2"/>
      </rPr>
      <t xml:space="preserve">وصف الفحوصات والأدوية الجديدة من سلة الطلبات عند الضرورة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بعد إغلاق هذا النموذج</t>
    </r>
    <r>
      <rPr>
        <sz val="11"/>
        <color theme="1"/>
        <rFont val="Calibri"/>
        <family val="2"/>
        <charset val="1"/>
      </rPr>
      <t xml:space="preserve">)</t>
    </r>
  </si>
  <si>
    <t xml:space="preserve">rfe-forms-prescribeNewExamsAndMedicationWithTheOrderBasketWheneverNecessary</t>
  </si>
  <si>
    <t xml:space="preserve">Order medications</t>
  </si>
  <si>
    <t xml:space="preserve">WORKSPACE</t>
  </si>
  <si>
    <t xml:space="preserve">order-basket</t>
  </si>
  <si>
    <t xml:space="preserve">طلب الأدوية</t>
  </si>
  <si>
    <t xml:space="preserve">Test: Click « Order medications » -&gt; The order basket opens</t>
  </si>
  <si>
    <t xml:space="preserve">F17-Surgery admission form|WORKSPACE</t>
  </si>
  <si>
    <t xml:space="preserve">rfe-forms-orderMedications</t>
  </si>
  <si>
    <t xml:space="preserve">Step</t>
  </si>
  <si>
    <t xml:space="preserve">Feature</t>
  </si>
  <si>
    <t xml:space="preserve">Category</t>
  </si>
  <si>
    <t xml:space="preserve">Site</t>
  </si>
  <si>
    <t xml:space="preserve">Release</t>
  </si>
  <si>
    <t xml:space="preserve">Action</t>
  </si>
  <si>
    <t xml:space="preserve">Description</t>
  </si>
  <si>
    <t xml:space="preserve">Data</t>
  </si>
  <si>
    <t xml:space="preserve">User</t>
  </si>
  <si>
    <t xml:space="preserve">Permission</t>
  </si>
  <si>
    <t xml:space="preserve">Priority</t>
  </si>
  <si>
    <t xml:space="preserve">Result</t>
  </si>
  <si>
    <t xml:space="preserve">Tested on</t>
  </si>
  <si>
    <t xml:space="preserve">Comment</t>
  </si>
  <si>
    <t xml:space="preserve">LOGIN-1</t>
  </si>
  <si>
    <t xml:space="preserve">Login and Locations</t>
  </si>
  <si>
    <t xml:space="preserve">Mosul</t>
  </si>
  <si>
    <t xml:space="preserve">Log in</t>
  </si>
  <si>
    <r>
      <rPr>
        <i val="true"/>
        <sz val="10"/>
        <color rgb="FF2E75B6"/>
        <rFont val="Calibri"/>
        <family val="0"/>
        <charset val="1"/>
      </rPr>
      <t xml:space="preserve">Two locations offered: Mental Health (MH) / </t>
    </r>
    <r>
      <rPr>
        <i val="true"/>
        <sz val="10"/>
        <color rgb="FF2E75B6"/>
        <rFont val="FreeSans"/>
        <family val="2"/>
      </rPr>
      <t xml:space="preserve">الصحة النفسية</t>
    </r>
    <r>
      <rPr>
        <i val="true"/>
        <sz val="10"/>
        <color rgb="FF2E75B6"/>
        <rFont val="Calibri"/>
        <family val="0"/>
        <charset val="1"/>
      </rPr>
      <t xml:space="preserve">, and Registration Counter (REG) / </t>
    </r>
    <r>
      <rPr>
        <i val="true"/>
        <sz val="10"/>
        <color rgb="FF2E75B6"/>
        <rFont val="FreeSans"/>
        <family val="2"/>
      </rPr>
      <t xml:space="preserve">تسجيل المستشفى</t>
    </r>
  </si>
  <si>
    <t xml:space="preserve">Any user</t>
  </si>
  <si>
    <t xml:space="preserve">Critical</t>
  </si>
  <si>
    <t xml:space="preserve">Not run</t>
  </si>
  <si>
    <t xml:space="preserve">LANG-1</t>
  </si>
  <si>
    <t xml:space="preserve">Languages</t>
  </si>
  <si>
    <t xml:space="preserve">Change the language</t>
  </si>
  <si>
    <t xml:space="preserve">English and Arabic offered; English by default</t>
  </si>
  <si>
    <t xml:space="preserve">Normal</t>
  </si>
  <si>
    <t xml:space="preserve">REG-1</t>
  </si>
  <si>
    <t xml:space="preserve">Registration</t>
  </si>
  <si>
    <t xml:space="preserve">Register a new patient</t>
  </si>
  <si>
    <t xml:space="preserve">MSF ID generated automatically (prefix IQ146-, at most 16 characters); Legacy MSF ID optional</t>
  </si>
  <si>
    <t xml:space="preserve">Fictitious patient</t>
  </si>
  <si>
    <t xml:space="preserve">Registration Officer</t>
  </si>
  <si>
    <t xml:space="preserve">REG-2</t>
  </si>
  <si>
    <t xml:space="preserve">Address Hierarchy</t>
  </si>
  <si>
    <t xml:space="preserve">Enter the patient address</t>
  </si>
  <si>
    <t xml:space="preserve">Address picked level by level: Iraq &gt; Ninawa &gt; district (Mosul, Sinjar, Talafar...) &gt; area</t>
  </si>
  <si>
    <t xml:space="preserve">REG-3</t>
  </si>
  <si>
    <t xml:space="preserve">Register a patient whose name is unknown</t>
  </si>
  <si>
    <t xml:space="preserve">Registration is allowed</t>
  </si>
  <si>
    <t xml:space="preserve">REG-4</t>
  </si>
  <si>
    <t xml:space="preserve">Print Patient Stickers</t>
  </si>
  <si>
    <t xml:space="preserve">Open the patient chart</t>
  </si>
  <si>
    <t xml:space="preserve">A « Print identifier sticker » button is available</t>
  </si>
  <si>
    <t xml:space="preserve">ROLES-1</t>
  </si>
  <si>
    <t xml:space="preserve">Roles and Access</t>
  </si>
  <si>
    <t xml:space="preserve">Open the patient chart of a mental health patient</t>
  </si>
  <si>
    <t xml:space="preserve">Mental health encounters are not visible</t>
  </si>
  <si>
    <t xml:space="preserve">No « View Mental Health »</t>
  </si>
  <si>
    <t xml:space="preserve">ROLES-2</t>
  </si>
  <si>
    <t xml:space="preserve">Try to order a lab test</t>
  </si>
  <si>
    <t xml:space="preserve">No lab order option</t>
  </si>
  <si>
    <t xml:space="preserve">Mental Health Counselor</t>
  </si>
  <si>
    <t xml:space="preserve">Matrix: « Order lab test » blank</t>
  </si>
  <si>
    <t xml:space="preserve">Today the EMR role can add orders</t>
  </si>
  <si>
    <t xml:space="preserve">APPT-1</t>
  </si>
  <si>
    <t xml:space="preserve">Appointments</t>
  </si>
  <si>
    <t xml:space="preserve">Book a follow-up appointment</t>
  </si>
  <si>
    <t xml:space="preserve">Services: Mental Health, and Mental Health - AB, DT, KA, SA, SK</t>
  </si>
  <si>
    <t xml:space="preserve">VISIT-1</t>
  </si>
  <si>
    <t xml:space="preserve">Visits</t>
  </si>
  <si>
    <t xml:space="preserve">Start a visit</t>
  </si>
  <si>
    <t xml:space="preserve">Visit types offered: OPD Visit, ER Visit, IPD Visit, Telehealth</t>
  </si>
  <si>
    <t xml:space="preserve">VISIT-2</t>
  </si>
  <si>
    <t xml:space="preserve">Leave an OPD or Telehealth visit open</t>
  </si>
  <si>
    <t xml:space="preserve">The visit is closed automatically</t>
  </si>
  <si>
    <t xml:space="preserve">Automatic</t>
  </si>
  <si>
    <t xml:space="preserve">Auto-close list also names « Home Visit », not a Mosul visit type</t>
  </si>
  <si>
    <t xml:space="preserve">EDIT-1</t>
  </si>
  <si>
    <t xml:space="preserve">Patient Chart</t>
  </si>
  <si>
    <t xml:space="preserve">Edit a form saved more than 24 hours ago</t>
  </si>
  <si>
    <t xml:space="preserve">The form can no longer be edited</t>
  </si>
  <si>
    <t xml:space="preserve">RDE-1</t>
  </si>
  <si>
    <t xml:space="preserve">Retrospective Data Entry</t>
  </si>
  <si>
    <t xml:space="preserve">Enter data for a past visit</t>
  </si>
  <si>
    <t xml:space="preserve">Retrospective data entry is available</t>
  </si>
  <si>
    <t xml:space="preserve">DHIS2-1</t>
  </si>
  <si>
    <t xml:space="preserve">DHIS2 Integration</t>
  </si>
  <si>
    <t xml:space="preserve">Save an F31 mhGAP Baseline with a PHQ-9 score</t>
  </si>
  <si>
    <t xml:space="preserve">After the daily sync (17:00), the PHQ-9 score is in DHIS2</t>
  </si>
  <si>
    <t xml:space="preserve">Matsapha</t>
  </si>
  <si>
    <t xml:space="preserve">Delete an encounter of a patient</t>
  </si>
  <si>
    <t xml:space="preserve">Deletion works</t>
  </si>
  <si>
    <t xml:space="preserve">Matsapha: Registration Supervisor</t>
  </si>
  <si>
    <t xml:space="preserve">Delete Encounters</t>
  </si>
  <si>
    <t xml:space="preserve">Open the same patient and look for « Delete »</t>
  </si>
  <si>
    <t xml:space="preserve">No delete option</t>
  </si>
  <si>
    <t xml:space="preserve">Matsapha: Clinical</t>
  </si>
  <si>
    <t xml:space="preserve">No Delete Encounters</t>
  </si>
  <si>
    <t xml:space="preserve">Tests</t>
  </si>
  <si>
    <t xml:space="preserve">Pass</t>
  </si>
  <si>
    <t xml:space="preserve">Fail</t>
  </si>
  <si>
    <t xml:space="preserve">Blocked</t>
  </si>
  <si>
    <t xml:space="preserve">All sites</t>
  </si>
  <si>
    <t xml:space="preserve">Mental Health</t>
  </si>
  <si>
    <t xml:space="preserve">Clinical</t>
  </si>
  <si>
    <t xml:space="preserve">Interoperability</t>
  </si>
  <si>
    <t xml:space="preserve">Platform</t>
  </si>
  <si>
    <t xml:space="preserve">Form</t>
  </si>
  <si>
    <t xml:space="preserve">Structure</t>
  </si>
  <si>
    <t xml:space="preserve">Submit all fields</t>
  </si>
  <si>
    <t xml:space="preserve">Calculations</t>
  </si>
  <si>
    <t xml:space="preserve">Tooltips</t>
  </si>
  <si>
    <t xml:space="preserve">Prepopulated fields</t>
  </si>
  <si>
    <t xml:space="preserve">Translations</t>
  </si>
  <si>
    <t xml:space="preserve">F01-MHPSS Baseline</t>
  </si>
  <si>
    <t xml:space="preserve">MB, Aug 30</t>
  </si>
  <si>
    <t xml:space="preserve">F02-MHPSS Follow-up</t>
  </si>
  <si>
    <t xml:space="preserve">F03-mhGAP Baseline</t>
  </si>
  <si>
    <t xml:space="preserve">F04-mhGAP Follow-up</t>
  </si>
  <si>
    <t xml:space="preserve">F05-MH Closure</t>
  </si>
  <si>
    <t xml:space="preserve">F06-MH-PHQ-9</t>
  </si>
  <si>
    <t xml:space="preserve">F17-Surgery Admission</t>
  </si>
  <si>
    <t xml:space="preserve">Auto, Oct 13: ✅ 2/2</t>
  </si>
  <si>
    <t xml:space="preserve">Auto, Oct 13: ✅ 8/8</t>
  </si>
  <si>
    <t xml:space="preserve">Field</t>
  </si>
  <si>
    <t xml:space="preserve">Guidance</t>
  </si>
  <si>
    <t xml:space="preserve">Accepted</t>
  </si>
  <si>
    <t xml:space="preserve">Not accepted</t>
  </si>
  <si>
    <t xml:space="preserve">Overall</t>
  </si>
  <si>
    <t xml:space="preserve">Avoid numerotations and numerotations for Questions, Answers, Labels</t>
  </si>
  <si>
    <t xml:space="preserve">Form name is defined by the page name after removing the 'F0x-' prefix</t>
  </si>
  <si>
    <t xml:space="preserve">Skip Logic</t>
  </si>
  <si>
    <t xml:space="preserve">Structure of the skip logic expression should be:
Question between [], operator "Different is &lt;&gt;, and conditional answer between ''</t>
  </si>
  <si>
    <t xml:space="preserve">The question is hidden if the Type of consultation IS NOT Family
[Type of consultation] !== 'Family'</t>
  </si>
  <si>
    <t xml:space="preserve">&lt;&gt; is not supported:
Hide question if [Consultation type] &lt;&gt; 'Family'</t>
  </si>
  <si>
    <t xml:space="preserve">Question in skip logic expression should match the exact "Question" value from the Question column</t>
  </si>
  <si>
    <t xml:space="preserve">Question is "Type of consultation" so skip logic is 
Hide question if [Type of consultation] !== 'Family'</t>
  </si>
  <si>
    <t xml:space="preserve">This would not work:
Hide question if [Consultation type] !== 'Family'</t>
  </si>
  <si>
    <t xml:space="preserve">Conditional answer should match the exact text of the "Answer" value in the OptionSets </t>
  </si>
  <si>
    <t xml:space="preserve">Conditional answer is "Family" so skip logic is 
Hide question if [Type of consultation] !== 'Family'</t>
  </si>
  <si>
    <t xml:space="preserve">This would not work:
Hide question if [Consultation type] !== 'family' (lower case)</t>
  </si>
  <si>
    <t xml:space="preserve">Conditional answer is "Yes" so skip logic is 
Hide question if [The patient did not come] !== 'Yes'</t>
  </si>
  <si>
    <t xml:space="preserve">TRUE or False not supported</t>
  </si>
  <si>
    <t xml:space="preserve">Add greather and lower than</t>
  </si>
  <si>
    <t xml:space="preserve">OCL Concept Priority Order</t>
  </si>
  <si>
    <t xml:space="preserve">Manually identified &gt; MSF Source &gt; CIEL Source &gt; PIH &gt; Source &gt; To be created</t>
  </si>
  <si>
    <t xml:space="preserve">Boolean datatype</t>
  </si>
  <si>
    <t xml:space="preserve">If boolean datatype -&gt; Option set should be "Boolean"</t>
  </si>
  <si>
    <t xml:space="preserve">Status color codes</t>
  </si>
  <si>
    <t xml:space="preserve">In progress by HQ</t>
  </si>
  <si>
    <t xml:space="preserve">Ready for Dev/config</t>
  </si>
  <si>
    <t xml:space="preserve">In Dev/config</t>
  </si>
  <si>
    <t xml:space="preserve">Ready for UAT</t>
  </si>
  <si>
    <t xml:space="preserve">Signed-off</t>
  </si>
  <si>
    <t xml:space="preserve">Added to form preview</t>
  </si>
  <si>
    <t xml:space="preserve">Concepts existing in OCL</t>
  </si>
  <si>
    <t xml:space="preserve">Concepts existing in EMR</t>
  </si>
  <si>
    <t xml:space="preserve">QA'ed and validated in UAT</t>
  </si>
  <si>
    <t xml:space="preserve">QA'ed and validated in Prod</t>
  </si>
  <si>
    <t xml:space="preserve">Error in form preview</t>
  </si>
  <si>
    <t xml:space="preserve">Error in concept in OCL</t>
  </si>
  <si>
    <t xml:space="preserve">Error in concept in EMR</t>
  </si>
  <si>
    <t xml:space="preserve">Error on UAT</t>
  </si>
  <si>
    <t xml:space="preserve">Error on Prod</t>
  </si>
  <si>
    <t xml:space="preserve">Other tests on a question: in 'Comments', 'Test: &lt;what I do&gt; -&gt; &lt;what I should see&gt;'. Tests across questions, forms or sites: one row in 'User flow template'; pick the Feature (from the Features tab), the Site and the Release; fill Result and Tested on when the test is run. New feature: add it to the Features tab first.</t>
  </si>
  <si>
    <t xml:space="preserve">Test: button works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</si>
</sst>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20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0" tint="-0.35"/>
      <name val="Calibri"/>
      <family val="2"/>
      <charset val="1"/>
    </font>
    <font>
      <sz val="11"/>
      <color theme="1"/>
      <name val="FreeSans"/>
      <family val="2"/>
    </font>
    <font>
      <i val="true"/>
      <sz val="11"/>
      <color rgb="FF2E75B6"/>
      <name val="Calibri"/>
      <family val="0"/>
      <charset val="1"/>
    </font>
    <font>
      <i val="true"/>
      <sz val="10"/>
      <color rgb="FF2E75B6"/>
      <name val="Calibri"/>
      <family val="0"/>
      <charset val="1"/>
    </font>
    <font>
      <sz val="10"/>
      <color rgb="FF808080"/>
      <name val="Calibri"/>
      <family val="0"/>
      <charset val="1"/>
    </font>
    <font>
      <i val="true"/>
      <sz val="10"/>
      <color rgb="FF2E75B6"/>
      <name val="FreeSans"/>
      <family val="2"/>
    </font>
    <font>
      <b val="true"/>
      <sz val="11"/>
      <name val="Calibri"/>
      <family val="0"/>
      <charset val="1"/>
    </font>
    <font>
      <b val="true"/>
      <sz val="11"/>
      <color rgb="FF2E75B6"/>
      <name val="Calibri"/>
      <family val="0"/>
      <charset val="1"/>
    </font>
    <font>
      <sz val="11"/>
      <color theme="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5" tint="-0.25"/>
        <bgColor rgb="FFED7D31"/>
      </patternFill>
    </fill>
    <fill>
      <patternFill patternType="solid">
        <fgColor rgb="FFFFFF00"/>
        <bgColor rgb="FFFFC000"/>
      </patternFill>
    </fill>
    <fill>
      <patternFill patternType="solid">
        <fgColor theme="2"/>
        <bgColor rgb="FFE2F0D9"/>
      </patternFill>
    </fill>
    <fill>
      <patternFill patternType="solid">
        <fgColor theme="0" tint="-0.15"/>
        <bgColor rgb="FFE7E6E6"/>
      </patternFill>
    </fill>
    <fill>
      <patternFill patternType="solid">
        <fgColor rgb="FF595959"/>
        <bgColor rgb="FF333333"/>
      </patternFill>
    </fill>
    <fill>
      <patternFill patternType="solid">
        <fgColor theme="8" tint="0.5999"/>
        <bgColor rgb="FFD9D9D9"/>
      </patternFill>
    </fill>
    <fill>
      <patternFill patternType="solid">
        <fgColor theme="0" tint="-0.05"/>
        <bgColor rgb="FFE7E6E6"/>
      </patternFill>
    </fill>
    <fill>
      <patternFill patternType="solid">
        <fgColor rgb="FF92D050"/>
        <bgColor rgb="FFA9D18E"/>
      </patternFill>
    </fill>
    <fill>
      <patternFill patternType="solid">
        <fgColor theme="0" tint="-0.25"/>
        <bgColor rgb="FFBDD7EE"/>
      </patternFill>
    </fill>
    <fill>
      <patternFill patternType="solid">
        <fgColor theme="5"/>
        <bgColor rgb="FFC55A11"/>
      </patternFill>
    </fill>
    <fill>
      <patternFill patternType="solid">
        <fgColor rgb="FFFFF2CC"/>
        <bgColor rgb="FFFBE5D6"/>
      </patternFill>
    </fill>
    <fill>
      <patternFill patternType="solid">
        <fgColor theme="9" tint="0.5999"/>
        <bgColor rgb="FFC6EFCE"/>
      </patternFill>
    </fill>
    <fill>
      <patternFill patternType="solid">
        <fgColor theme="5" tint="0.5999"/>
        <bgColor rgb="FFFFC7CE"/>
      </patternFill>
    </fill>
    <fill>
      <patternFill patternType="solid">
        <fgColor theme="7"/>
        <bgColor rgb="FFF4B183"/>
      </patternFill>
    </fill>
    <fill>
      <patternFill patternType="solid">
        <fgColor rgb="FF0070C0"/>
        <bgColor rgb="FF008080"/>
      </patternFill>
    </fill>
    <fill>
      <patternFill patternType="solid">
        <fgColor rgb="FF7030A0"/>
        <bgColor rgb="FF333399"/>
      </patternFill>
    </fill>
    <fill>
      <patternFill patternType="solid">
        <fgColor rgb="FF00B05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9" tint="0.3999"/>
        <bgColor rgb="FFC5E0B4"/>
      </patternFill>
    </fill>
    <fill>
      <patternFill patternType="solid">
        <fgColor theme="9"/>
        <bgColor rgb="FF92D050"/>
      </patternFill>
    </fill>
    <fill>
      <patternFill patternType="solid">
        <fgColor theme="5" tint="0.7999"/>
        <bgColor rgb="FFFFF2CC"/>
      </patternFill>
    </fill>
    <fill>
      <patternFill patternType="solid">
        <fgColor theme="5" tint="0.3999"/>
        <bgColor rgb="FFF8CBAD"/>
      </patternFill>
    </fill>
    <fill>
      <patternFill patternType="solid">
        <fgColor rgb="FFFF0000"/>
        <bgColor rgb="FFDE1B1B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ck">
        <color rgb="FFBFBFBF"/>
      </right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 diagonalUp="false" diagonalDown="false">
      <left/>
      <right/>
      <top style="thin">
        <color theme="9" tint="0.3999"/>
      </top>
      <bottom style="thin">
        <color theme="9" tint="0.3999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7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9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1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2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4" xfId="21"/>
  </cellStyles>
  <dxfs count="28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0AD47"/>
      <rgbColor rgb="FF800080"/>
      <rgbColor rgb="FF008080"/>
      <rgbColor rgb="FFBFBFBF"/>
      <rgbColor rgb="FF808080"/>
      <rgbColor rgb="FFA9D18E"/>
      <rgbColor rgb="FF7030A0"/>
      <rgbColor rgb="FFFFF2CC"/>
      <rgbColor rgb="FFE2F0D9"/>
      <rgbColor rgb="FF660066"/>
      <rgbColor rgb="FFD9D9D9"/>
      <rgbColor rgb="FF0070C0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C5E0B4"/>
      <rgbColor rgb="FFF4B183"/>
      <rgbColor rgb="FFFFC7CE"/>
      <rgbColor rgb="FFF8CBAD"/>
      <rgbColor rgb="FF2E75B6"/>
      <rgbColor rgb="FF33CCCC"/>
      <rgbColor rgb="FF92D050"/>
      <rgbColor rgb="FFFFC000"/>
      <rgbColor rgb="FFE7E6E6"/>
      <rgbColor rgb="FFED7D31"/>
      <rgbColor rgb="FF595959"/>
      <rgbColor rgb="FFA6A6A6"/>
      <rgbColor rgb="FF003366"/>
      <rgbColor rgb="FF00B050"/>
      <rgbColor rgb="FF003300"/>
      <rgbColor rgb="FF333300"/>
      <rgbColor rgb="FFC55A11"/>
      <rgbColor rgb="FFDE1B1B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60</xdr:col>
      <xdr:colOff>53280</xdr:colOff>
      <xdr:row>0</xdr:row>
      <xdr:rowOff>23040</xdr:rowOff>
    </xdr:from>
    <xdr:to>
      <xdr:col>60</xdr:col>
      <xdr:colOff>300600</xdr:colOff>
      <xdr:row>0</xdr:row>
      <xdr:rowOff>266400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94145040" y="23040"/>
          <a:ext cx="24732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300600</xdr:colOff>
      <xdr:row>0</xdr:row>
      <xdr:rowOff>266400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94145040" y="23040"/>
          <a:ext cx="24732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300600</xdr:colOff>
      <xdr:row>0</xdr:row>
      <xdr:rowOff>266400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94145040" y="23040"/>
          <a:ext cx="24732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300600</xdr:colOff>
      <xdr:row>0</xdr:row>
      <xdr:rowOff>266400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94145040" y="23040"/>
          <a:ext cx="24732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300600</xdr:colOff>
      <xdr:row>0</xdr:row>
      <xdr:rowOff>266400</xdr:rowOff>
    </xdr:to>
    <xdr:pic>
      <xdr:nvPicPr>
        <xdr:cNvPr id="4" name="Picture 5" descr=""/>
        <xdr:cNvPicPr/>
      </xdr:nvPicPr>
      <xdr:blipFill>
        <a:blip r:embed="rId5"/>
        <a:stretch/>
      </xdr:blipFill>
      <xdr:spPr>
        <a:xfrm>
          <a:off x="94145040" y="23040"/>
          <a:ext cx="24732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301320</xdr:colOff>
      <xdr:row>0</xdr:row>
      <xdr:rowOff>269640</xdr:rowOff>
    </xdr:to>
    <xdr:pic>
      <xdr:nvPicPr>
        <xdr:cNvPr id="5" name="Picture 6" descr=""/>
        <xdr:cNvPicPr/>
      </xdr:nvPicPr>
      <xdr:blipFill>
        <a:blip r:embed="rId6"/>
        <a:stretch/>
      </xdr:blipFill>
      <xdr:spPr>
        <a:xfrm>
          <a:off x="94145040" y="23040"/>
          <a:ext cx="248040" cy="246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301320</xdr:colOff>
      <xdr:row>0</xdr:row>
      <xdr:rowOff>266400</xdr:rowOff>
    </xdr:to>
    <xdr:pic>
      <xdr:nvPicPr>
        <xdr:cNvPr id="6" name="Picture 7" descr=""/>
        <xdr:cNvPicPr/>
      </xdr:nvPicPr>
      <xdr:blipFill>
        <a:blip r:embed="rId7"/>
        <a:stretch/>
      </xdr:blipFill>
      <xdr:spPr>
        <a:xfrm>
          <a:off x="94145040" y="23040"/>
          <a:ext cx="24804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295560</xdr:colOff>
      <xdr:row>0</xdr:row>
      <xdr:rowOff>266400</xdr:rowOff>
    </xdr:to>
    <xdr:pic>
      <xdr:nvPicPr>
        <xdr:cNvPr id="7" name="Picture 8" descr=""/>
        <xdr:cNvPicPr/>
      </xdr:nvPicPr>
      <xdr:blipFill>
        <a:blip r:embed="rId8"/>
        <a:stretch/>
      </xdr:blipFill>
      <xdr:spPr>
        <a:xfrm>
          <a:off x="94145040" y="23040"/>
          <a:ext cx="24228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296640</xdr:colOff>
      <xdr:row>0</xdr:row>
      <xdr:rowOff>266400</xdr:rowOff>
    </xdr:to>
    <xdr:pic>
      <xdr:nvPicPr>
        <xdr:cNvPr id="8" name="Picture 9" descr=""/>
        <xdr:cNvPicPr/>
      </xdr:nvPicPr>
      <xdr:blipFill>
        <a:blip r:embed="rId9"/>
        <a:stretch/>
      </xdr:blipFill>
      <xdr:spPr>
        <a:xfrm>
          <a:off x="94145040" y="23040"/>
          <a:ext cx="24336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296640</xdr:colOff>
      <xdr:row>0</xdr:row>
      <xdr:rowOff>266400</xdr:rowOff>
    </xdr:to>
    <xdr:pic>
      <xdr:nvPicPr>
        <xdr:cNvPr id="9" name="Picture 10" descr=""/>
        <xdr:cNvPicPr/>
      </xdr:nvPicPr>
      <xdr:blipFill>
        <a:blip r:embed="rId10"/>
        <a:stretch/>
      </xdr:blipFill>
      <xdr:spPr>
        <a:xfrm>
          <a:off x="94145040" y="23040"/>
          <a:ext cx="243360" cy="2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301320</xdr:colOff>
      <xdr:row>0</xdr:row>
      <xdr:rowOff>269640</xdr:rowOff>
    </xdr:to>
    <xdr:pic>
      <xdr:nvPicPr>
        <xdr:cNvPr id="10" name="Picture 11" descr=""/>
        <xdr:cNvPicPr/>
      </xdr:nvPicPr>
      <xdr:blipFill>
        <a:blip r:embed="rId11"/>
        <a:stretch/>
      </xdr:blipFill>
      <xdr:spPr>
        <a:xfrm>
          <a:off x="94145040" y="23040"/>
          <a:ext cx="248040" cy="246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301320</xdr:colOff>
      <xdr:row>0</xdr:row>
      <xdr:rowOff>266400</xdr:rowOff>
    </xdr:to>
    <xdr:pic>
      <xdr:nvPicPr>
        <xdr:cNvPr id="11" name="Picture 12" descr=""/>
        <xdr:cNvPicPr/>
      </xdr:nvPicPr>
      <xdr:blipFill>
        <a:blip r:embed="rId12"/>
        <a:stretch/>
      </xdr:blipFill>
      <xdr:spPr>
        <a:xfrm>
          <a:off x="94145040" y="23040"/>
          <a:ext cx="248040" cy="243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D22" headerRowCount="1" totalsRowCount="0" totalsRowShown="0">
  <autoFilter ref="A1:D22"/>
  <tableColumns count="4">
    <tableColumn id="1" name="Field"/>
    <tableColumn id="2" name="Guidance"/>
    <tableColumn id="3" name="Accepted"/>
    <tableColumn id="4" name="Not accept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pp.openconceptlab.org/" TargetMode="External"/><Relationship Id="rId2" Type="http://schemas.openxmlformats.org/officeDocument/2006/relationships/hyperlink" Target="https://app.openconceptlab.org/" TargetMode="External"/><Relationship Id="rId3" Type="http://schemas.openxmlformats.org/officeDocument/2006/relationships/hyperlink" Target="https://app.openconceptlab.org/" TargetMode="External"/><Relationship Id="rId4" Type="http://schemas.openxmlformats.org/officeDocument/2006/relationships/hyperlink" Target="https://app.openconceptlab.org/" TargetMode="External"/><Relationship Id="rId5" Type="http://schemas.openxmlformats.org/officeDocument/2006/relationships/hyperlink" Target="https://app.openconceptlab.org/" TargetMode="External"/><Relationship Id="rId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ES3" activePane="bottomLeft" state="frozen"/>
      <selection pane="topLeft" activeCell="A1" activeCellId="0" sqref="A1"/>
      <selection pane="bottomLeft" activeCell="BK16" activeCellId="0" sqref="BK16"/>
    </sheetView>
  </sheetViews>
  <sheetFormatPr defaultColWidth="8.5703125" defaultRowHeight="15" zeroHeight="false" outlineLevelRow="0" outlineLevelCol="1"/>
  <cols>
    <col collapsed="false" customWidth="true" hidden="false" outlineLevel="1" max="1" min="1" style="0" width="21.43"/>
    <col collapsed="false" customWidth="true" hidden="false" outlineLevel="1" max="2" min="2" style="0" width="18.57"/>
    <col collapsed="false" customWidth="true" hidden="false" outlineLevel="0" max="3" min="3" style="1" width="6.43"/>
    <col collapsed="false" customWidth="true" hidden="false" outlineLevel="0" max="4" min="4" style="0" width="53.42"/>
    <col collapsed="false" customWidth="true" hidden="false" outlineLevel="0" max="5" min="5" style="0" width="37"/>
    <col collapsed="false" customWidth="true" hidden="false" outlineLevel="0" max="6" min="6" style="0" width="36.42"/>
    <col collapsed="false" customWidth="true" hidden="false" outlineLevel="1" max="7" min="7" style="0" width="30.57"/>
    <col collapsed="false" customWidth="true" hidden="false" outlineLevel="1" max="8" min="8" style="0" width="23.57"/>
    <col collapsed="false" customWidth="true" hidden="false" outlineLevel="1" max="9" min="9" style="0" width="18.57"/>
    <col collapsed="false" customWidth="true" hidden="false" outlineLevel="1" max="10" min="10" style="1" width="29.42"/>
    <col collapsed="false" customWidth="true" hidden="false" outlineLevel="1" max="11" min="11" style="0" width="23.42"/>
    <col collapsed="false" customWidth="false" hidden="false" outlineLevel="1" max="12" min="12" style="0" width="8.57"/>
    <col collapsed="false" customWidth="true" hidden="false" outlineLevel="0" max="13" min="13" style="2" width="22"/>
    <col collapsed="false" customWidth="true" hidden="false" outlineLevel="1" max="17" min="14" style="2" width="22"/>
    <col collapsed="false" customWidth="true" hidden="false" outlineLevel="1" max="18" min="18" style="0" width="17.57"/>
    <col collapsed="false" customWidth="true" hidden="false" outlineLevel="0" max="19" min="19" style="0" width="18.57"/>
    <col collapsed="false" customWidth="true" hidden="false" outlineLevel="1" max="24" min="20" style="0" width="18.57"/>
    <col collapsed="false" customWidth="true" hidden="false" outlineLevel="0" max="25" min="25" style="0" width="18.57"/>
    <col collapsed="false" customWidth="true" hidden="false" outlineLevel="1" max="30" min="26" style="0" width="18.57"/>
    <col collapsed="false" customWidth="true" hidden="false" outlineLevel="0" max="31" min="31" style="0" width="18.57"/>
    <col collapsed="false" customWidth="true" hidden="false" outlineLevel="0" max="32" min="32" style="0" width="16.43"/>
    <col collapsed="false" customWidth="true" hidden="false" outlineLevel="0" max="33" min="33" style="0" width="10.57"/>
    <col collapsed="false" customWidth="true" hidden="false" outlineLevel="0" max="37" min="34" style="0" width="18.57"/>
    <col collapsed="false" customWidth="true" hidden="false" outlineLevel="0" max="38" min="38" style="0" width="35.43"/>
    <col collapsed="false" customWidth="true" hidden="false" outlineLevel="1" max="39" min="39" style="0" width="25.42"/>
    <col collapsed="false" customWidth="true" hidden="false" outlineLevel="1" max="40" min="40" style="0" width="19.42"/>
    <col collapsed="false" customWidth="true" hidden="false" outlineLevel="1" max="43" min="41" style="0" width="13.42"/>
    <col collapsed="false" customWidth="true" hidden="false" outlineLevel="1" max="44" min="44" style="0" width="6.57"/>
    <col collapsed="false" customWidth="true" hidden="false" outlineLevel="1" max="45" min="45" style="0" width="68.42"/>
    <col collapsed="false" customWidth="true" hidden="false" outlineLevel="1" max="46" min="46" style="0" width="14.42"/>
    <col collapsed="false" customWidth="true" hidden="false" outlineLevel="1" max="48" min="47" style="0" width="18.57"/>
    <col collapsed="false" customWidth="true" hidden="false" outlineLevel="1" max="49" min="49" style="0" width="11"/>
    <col collapsed="false" customWidth="true" hidden="false" outlineLevel="0" max="53" min="50" style="0" width="18.57"/>
    <col collapsed="false" customWidth="true" hidden="false" outlineLevel="0" max="54" min="54" style="0" width="44"/>
    <col collapsed="false" customWidth="true" hidden="false" outlineLevel="0" max="55" min="55" style="0" width="26.42"/>
    <col collapsed="false" customWidth="true" hidden="false" outlineLevel="0" max="56" min="56" style="0" width="38.42"/>
    <col collapsed="false" customWidth="true" hidden="false" outlineLevel="0" max="57" min="57" style="0" width="28.57"/>
    <col collapsed="false" customWidth="true" hidden="false" outlineLevel="0" max="59" min="58" style="0" width="18.57"/>
    <col collapsed="false" customWidth="true" hidden="false" outlineLevel="0" max="60" min="60" style="0" width="50.42"/>
    <col collapsed="false" customWidth="true" hidden="false" outlineLevel="0" max="61" min="61" style="0" width="17.57"/>
    <col collapsed="false" customWidth="true" hidden="false" outlineLevel="0" max="62" min="62" style="0" width="48.42"/>
    <col collapsed="false" customWidth="true" hidden="false" outlineLevel="0" max="63" min="63" style="0" width="45"/>
    <col collapsed="false" customWidth="true" hidden="false" outlineLevel="0" max="64" min="64" style="0" width="18.57"/>
    <col collapsed="false" customWidth="true" hidden="true" outlineLevel="0" max="67" min="66" style="0" width="13"/>
    <col collapsed="false" customWidth="true" hidden="false" outlineLevel="0" max="68" min="68" style="0" width="21.43"/>
  </cols>
  <sheetData>
    <row r="1" customFormat="false" ht="21.75" hidden="false" customHeight="true" outlineLevel="0" collapsed="false">
      <c r="A1" s="3" t="s">
        <v>0</v>
      </c>
      <c r="B1" s="4" t="s">
        <v>1</v>
      </c>
      <c r="C1" s="5"/>
      <c r="D1" s="6"/>
      <c r="L1" s="7"/>
      <c r="M1" s="8" t="s">
        <v>2</v>
      </c>
      <c r="N1" s="8"/>
      <c r="O1" s="8"/>
      <c r="P1" s="8"/>
      <c r="Q1" s="8"/>
      <c r="R1" s="8"/>
      <c r="S1" s="8" t="s">
        <v>3</v>
      </c>
      <c r="T1" s="8"/>
      <c r="U1" s="8"/>
      <c r="V1" s="8"/>
      <c r="W1" s="8"/>
      <c r="X1" s="8"/>
      <c r="Y1" s="9" t="s">
        <v>4</v>
      </c>
      <c r="Z1" s="9"/>
      <c r="AA1" s="9"/>
      <c r="AB1" s="9"/>
      <c r="AC1" s="9"/>
      <c r="AD1" s="9"/>
      <c r="AE1" s="10"/>
      <c r="AF1" s="11" t="s">
        <v>5</v>
      </c>
      <c r="AG1" s="11"/>
      <c r="AH1" s="11"/>
      <c r="AI1" s="11"/>
      <c r="AJ1" s="11"/>
      <c r="AK1" s="11"/>
      <c r="AL1" s="11"/>
      <c r="BA1" s="11" t="s">
        <v>6</v>
      </c>
      <c r="BB1" s="11"/>
      <c r="BC1" s="11"/>
      <c r="BD1" s="11"/>
      <c r="BE1" s="11"/>
      <c r="BF1" s="11"/>
      <c r="BI1" s="12" t="s">
        <v>7</v>
      </c>
      <c r="BN1" s="13" t="s">
        <v>8</v>
      </c>
    </row>
    <row r="2" s="21" customFormat="true" ht="30" hidden="false" customHeight="true" outlineLevel="0" collapsed="false">
      <c r="A2" s="14" t="s">
        <v>9</v>
      </c>
      <c r="B2" s="14" t="s">
        <v>10</v>
      </c>
      <c r="C2" s="15" t="s">
        <v>11</v>
      </c>
      <c r="D2" s="14" t="s">
        <v>12</v>
      </c>
      <c r="E2" s="14" t="s">
        <v>13</v>
      </c>
      <c r="F2" s="16" t="s">
        <v>14</v>
      </c>
      <c r="G2" s="14" t="s">
        <v>15</v>
      </c>
      <c r="H2" s="14" t="s">
        <v>16</v>
      </c>
      <c r="I2" s="14" t="s">
        <v>17</v>
      </c>
      <c r="J2" s="15" t="s">
        <v>18</v>
      </c>
      <c r="K2" s="14" t="s">
        <v>19</v>
      </c>
      <c r="L2" s="16" t="s">
        <v>20</v>
      </c>
      <c r="M2" s="17" t="s">
        <v>21</v>
      </c>
      <c r="N2" s="17" t="s">
        <v>22</v>
      </c>
      <c r="O2" s="17" t="s">
        <v>23</v>
      </c>
      <c r="P2" s="17" t="s">
        <v>24</v>
      </c>
      <c r="Q2" s="17" t="s">
        <v>25</v>
      </c>
      <c r="R2" s="18" t="s">
        <v>26</v>
      </c>
      <c r="S2" s="17" t="s">
        <v>27</v>
      </c>
      <c r="T2" s="17" t="s">
        <v>28</v>
      </c>
      <c r="U2" s="17" t="s">
        <v>29</v>
      </c>
      <c r="V2" s="17" t="s">
        <v>30</v>
      </c>
      <c r="W2" s="17" t="s">
        <v>31</v>
      </c>
      <c r="X2" s="18" t="s">
        <v>32</v>
      </c>
      <c r="Y2" s="17" t="s">
        <v>33</v>
      </c>
      <c r="Z2" s="17" t="s">
        <v>34</v>
      </c>
      <c r="AA2" s="17" t="s">
        <v>35</v>
      </c>
      <c r="AB2" s="17" t="s">
        <v>36</v>
      </c>
      <c r="AC2" s="17" t="s">
        <v>37</v>
      </c>
      <c r="AD2" s="17" t="s">
        <v>38</v>
      </c>
      <c r="AE2" s="14" t="s">
        <v>39</v>
      </c>
      <c r="AF2" s="14" t="s">
        <v>40</v>
      </c>
      <c r="AG2" s="14" t="s">
        <v>41</v>
      </c>
      <c r="AH2" s="14" t="s">
        <v>42</v>
      </c>
      <c r="AI2" s="14" t="s">
        <v>43</v>
      </c>
      <c r="AJ2" s="14" t="s">
        <v>44</v>
      </c>
      <c r="AK2" s="14" t="s">
        <v>45</v>
      </c>
      <c r="AL2" s="14" t="s">
        <v>46</v>
      </c>
      <c r="AM2" s="14" t="s">
        <v>47</v>
      </c>
      <c r="AN2" s="14" t="s">
        <v>48</v>
      </c>
      <c r="AO2" s="14" t="s">
        <v>49</v>
      </c>
      <c r="AP2" s="14" t="s">
        <v>50</v>
      </c>
      <c r="AQ2" s="14" t="s">
        <v>51</v>
      </c>
      <c r="AR2" s="14" t="s">
        <v>52</v>
      </c>
      <c r="AS2" s="14" t="s">
        <v>53</v>
      </c>
      <c r="AT2" s="14" t="s">
        <v>54</v>
      </c>
      <c r="AU2" s="14" t="s">
        <v>55</v>
      </c>
      <c r="AV2" s="14" t="s">
        <v>56</v>
      </c>
      <c r="AW2" s="14" t="s">
        <v>57</v>
      </c>
      <c r="AX2" s="14" t="s">
        <v>58</v>
      </c>
      <c r="AY2" s="14" t="s">
        <v>59</v>
      </c>
      <c r="AZ2" s="14" t="s">
        <v>60</v>
      </c>
      <c r="BA2" s="14" t="s">
        <v>61</v>
      </c>
      <c r="BB2" s="14" t="s">
        <v>62</v>
      </c>
      <c r="BC2" s="14" t="s">
        <v>63</v>
      </c>
      <c r="BD2" s="14" t="s">
        <v>64</v>
      </c>
      <c r="BE2" s="14" t="s">
        <v>65</v>
      </c>
      <c r="BF2" s="14" t="s">
        <v>66</v>
      </c>
      <c r="BG2" s="14" t="s">
        <v>67</v>
      </c>
      <c r="BH2" s="14" t="s">
        <v>68</v>
      </c>
      <c r="BI2" s="19" t="s">
        <v>69</v>
      </c>
      <c r="BJ2" s="19" t="s">
        <v>70</v>
      </c>
      <c r="BK2" s="14" t="s">
        <v>71</v>
      </c>
      <c r="BL2" s="14" t="s">
        <v>72</v>
      </c>
      <c r="BM2" s="14" t="s">
        <v>73</v>
      </c>
      <c r="BN2" s="20" t="s">
        <v>74</v>
      </c>
      <c r="BO2" s="3" t="s">
        <v>75</v>
      </c>
      <c r="BP2" s="14" t="s">
        <v>76</v>
      </c>
    </row>
    <row r="3" customFormat="false" ht="15" hidden="false" customHeight="true" outlineLevel="0" collapsed="false">
      <c r="A3" s="0" t="s">
        <v>77</v>
      </c>
      <c r="B3" s="0" t="s">
        <v>77</v>
      </c>
      <c r="C3" s="22" t="n">
        <v>1</v>
      </c>
      <c r="D3" s="13" t="s">
        <v>78</v>
      </c>
      <c r="E3" s="13" t="s">
        <v>79</v>
      </c>
      <c r="G3" s="23" t="s">
        <v>78</v>
      </c>
      <c r="I3" s="13" t="s">
        <v>80</v>
      </c>
      <c r="J3" s="24" t="s">
        <v>81</v>
      </c>
      <c r="K3" s="2"/>
      <c r="L3" s="25" t="s">
        <v>78</v>
      </c>
      <c r="M3" s="26"/>
      <c r="N3" s="26"/>
      <c r="O3" s="26"/>
      <c r="P3" s="26"/>
      <c r="Q3" s="26"/>
      <c r="R3" s="27" t="n">
        <v>0</v>
      </c>
      <c r="S3" s="26" t="s">
        <v>82</v>
      </c>
      <c r="T3" s="26"/>
      <c r="U3" s="26"/>
      <c r="V3" s="26"/>
      <c r="W3" s="26"/>
      <c r="X3" s="27" t="n">
        <v>0</v>
      </c>
      <c r="Y3" s="26" t="s">
        <v>82</v>
      </c>
      <c r="Z3" s="26"/>
      <c r="AA3" s="26"/>
      <c r="AB3" s="26"/>
      <c r="AC3" s="26"/>
      <c r="AD3" s="26" t="n">
        <v>0</v>
      </c>
      <c r="AG3" s="23" t="s">
        <v>83</v>
      </c>
      <c r="AM3" s="28" t="s">
        <v>84</v>
      </c>
      <c r="AN3" s="28"/>
      <c r="AO3" s="29" t="s">
        <v>85</v>
      </c>
      <c r="AT3" s="30" t="s">
        <v>86</v>
      </c>
      <c r="AU3" s="30" t="s">
        <v>86</v>
      </c>
      <c r="AV3" s="30" t="s">
        <v>86</v>
      </c>
      <c r="AW3" s="28" t="s">
        <v>87</v>
      </c>
      <c r="AX3" s="31" t="s">
        <v>88</v>
      </c>
      <c r="AZ3" s="31" t="s">
        <v>89</v>
      </c>
      <c r="BA3" s="13" t="s">
        <v>90</v>
      </c>
      <c r="BB3" s="13" t="s">
        <v>91</v>
      </c>
      <c r="BD3" s="30" t="s">
        <v>92</v>
      </c>
      <c r="BE3" s="30" t="s">
        <v>92</v>
      </c>
      <c r="BF3" s="30" t="s">
        <v>86</v>
      </c>
      <c r="BG3" s="30" t="s">
        <v>86</v>
      </c>
      <c r="BH3" s="30" t="s">
        <v>86</v>
      </c>
      <c r="BI3" s="32" t="s">
        <v>93</v>
      </c>
      <c r="BJ3" s="32" t="s">
        <v>94</v>
      </c>
      <c r="BK3" s="28"/>
      <c r="BN3" s="13" t="s">
        <v>95</v>
      </c>
      <c r="BO3" s="33" t="n">
        <v>1</v>
      </c>
      <c r="BP3" s="13" t="s">
        <v>96</v>
      </c>
    </row>
    <row r="4" customFormat="false" ht="15" hidden="false" customHeight="true" outlineLevel="0" collapsed="false">
      <c r="A4" s="0" t="s">
        <v>77</v>
      </c>
      <c r="B4" s="0" t="s">
        <v>77</v>
      </c>
      <c r="C4" s="34" t="n">
        <v>1</v>
      </c>
      <c r="D4" s="35"/>
      <c r="E4" s="35"/>
      <c r="G4" s="23"/>
      <c r="J4" s="24"/>
      <c r="K4" s="2"/>
      <c r="L4" s="25"/>
      <c r="M4" s="26"/>
      <c r="N4" s="26"/>
      <c r="O4" s="26"/>
      <c r="P4" s="26"/>
      <c r="Q4" s="26"/>
      <c r="R4" s="27"/>
      <c r="S4" s="26"/>
      <c r="T4" s="26"/>
      <c r="U4" s="26"/>
      <c r="V4" s="26"/>
      <c r="W4" s="26"/>
      <c r="X4" s="27"/>
      <c r="Y4" s="26"/>
      <c r="Z4" s="26"/>
      <c r="AA4" s="26"/>
      <c r="AB4" s="26"/>
      <c r="AC4" s="26"/>
      <c r="AD4" s="26"/>
      <c r="AG4" s="36"/>
      <c r="AM4" s="28"/>
      <c r="AN4" s="28"/>
      <c r="AT4" s="30" t="s">
        <v>86</v>
      </c>
      <c r="AU4" s="30" t="s">
        <v>86</v>
      </c>
      <c r="AV4" s="30" t="s">
        <v>86</v>
      </c>
      <c r="AW4" s="28"/>
      <c r="AZ4" s="31" t="s">
        <v>89</v>
      </c>
      <c r="BA4" s="13" t="s">
        <v>90</v>
      </c>
      <c r="BB4" s="13" t="s">
        <v>97</v>
      </c>
      <c r="BD4" s="30"/>
      <c r="BE4" s="30"/>
      <c r="BF4" s="30" t="s">
        <v>86</v>
      </c>
      <c r="BG4" s="30" t="s">
        <v>86</v>
      </c>
      <c r="BH4" s="30" t="s">
        <v>86</v>
      </c>
      <c r="BI4" s="32" t="s">
        <v>98</v>
      </c>
      <c r="BJ4" s="32" t="s">
        <v>94</v>
      </c>
      <c r="BK4" s="28"/>
      <c r="BN4" s="13" t="s">
        <v>99</v>
      </c>
      <c r="BO4" s="33" t="n">
        <v>4</v>
      </c>
    </row>
    <row r="5" customFormat="false" ht="15" hidden="false" customHeight="true" outlineLevel="0" collapsed="false">
      <c r="A5" s="0" t="s">
        <v>77</v>
      </c>
      <c r="B5" s="0" t="s">
        <v>77</v>
      </c>
      <c r="C5" s="34" t="n">
        <v>1</v>
      </c>
      <c r="D5" s="35"/>
      <c r="E5" s="35"/>
      <c r="G5" s="23"/>
      <c r="J5" s="24"/>
      <c r="K5" s="2"/>
      <c r="L5" s="25"/>
      <c r="M5" s="26"/>
      <c r="N5" s="26"/>
      <c r="O5" s="26"/>
      <c r="P5" s="26"/>
      <c r="Q5" s="26"/>
      <c r="R5" s="27"/>
      <c r="S5" s="26"/>
      <c r="T5" s="26"/>
      <c r="U5" s="26"/>
      <c r="V5" s="26"/>
      <c r="W5" s="26"/>
      <c r="X5" s="27"/>
      <c r="Y5" s="26"/>
      <c r="Z5" s="26"/>
      <c r="AA5" s="26"/>
      <c r="AB5" s="26"/>
      <c r="AC5" s="26"/>
      <c r="AD5" s="26"/>
      <c r="AG5" s="36"/>
      <c r="AM5" s="28"/>
      <c r="AN5" s="28"/>
      <c r="AT5" s="30" t="s">
        <v>86</v>
      </c>
      <c r="AU5" s="30" t="s">
        <v>86</v>
      </c>
      <c r="AV5" s="30" t="s">
        <v>86</v>
      </c>
      <c r="AW5" s="28"/>
      <c r="AZ5" s="31" t="s">
        <v>89</v>
      </c>
      <c r="BA5" s="37" t="s">
        <v>100</v>
      </c>
      <c r="BB5" s="37" t="s">
        <v>101</v>
      </c>
      <c r="BC5" s="37"/>
      <c r="BD5" s="30"/>
      <c r="BE5" s="30"/>
      <c r="BF5" s="30" t="s">
        <v>86</v>
      </c>
      <c r="BG5" s="30" t="s">
        <v>86</v>
      </c>
      <c r="BH5" s="30" t="s">
        <v>86</v>
      </c>
      <c r="BI5" s="32" t="s">
        <v>102</v>
      </c>
      <c r="BJ5" s="32" t="s">
        <v>103</v>
      </c>
      <c r="BK5" s="28"/>
      <c r="BN5" s="13" t="s">
        <v>99</v>
      </c>
      <c r="BO5" s="33" t="n">
        <v>4</v>
      </c>
    </row>
    <row r="6" customFormat="false" ht="15" hidden="false" customHeight="true" outlineLevel="0" collapsed="false">
      <c r="A6" s="0" t="s">
        <v>77</v>
      </c>
      <c r="B6" s="0" t="s">
        <v>77</v>
      </c>
      <c r="C6" s="34" t="n">
        <v>2</v>
      </c>
      <c r="D6" s="13" t="s">
        <v>104</v>
      </c>
      <c r="E6" s="13" t="s">
        <v>105</v>
      </c>
      <c r="G6" s="23" t="s">
        <v>104</v>
      </c>
      <c r="I6" s="26" t="s">
        <v>106</v>
      </c>
      <c r="J6" s="24" t="s">
        <v>107</v>
      </c>
      <c r="K6" s="38" t="s">
        <v>108</v>
      </c>
      <c r="L6" s="25" t="s">
        <v>104</v>
      </c>
      <c r="M6" s="26"/>
      <c r="N6" s="26"/>
      <c r="O6" s="26"/>
      <c r="P6" s="26"/>
      <c r="Q6" s="26"/>
      <c r="R6" s="27" t="s">
        <v>82</v>
      </c>
      <c r="S6" s="26" t="s">
        <v>82</v>
      </c>
      <c r="T6" s="26"/>
      <c r="U6" s="26"/>
      <c r="V6" s="26"/>
      <c r="W6" s="26"/>
      <c r="X6" s="27" t="s">
        <v>82</v>
      </c>
      <c r="Y6" s="26" t="s">
        <v>82</v>
      </c>
      <c r="Z6" s="26"/>
      <c r="AA6" s="26"/>
      <c r="AB6" s="26"/>
      <c r="AC6" s="26"/>
      <c r="AD6" s="26"/>
      <c r="AG6" s="13" t="s">
        <v>83</v>
      </c>
      <c r="AM6" s="28" t="s">
        <v>109</v>
      </c>
      <c r="AS6" s="30"/>
      <c r="AT6" s="30" t="s">
        <v>86</v>
      </c>
      <c r="AU6" s="30" t="s">
        <v>86</v>
      </c>
      <c r="AV6" s="30" t="s">
        <v>86</v>
      </c>
      <c r="AW6" s="28" t="s">
        <v>87</v>
      </c>
      <c r="AX6" s="31" t="s">
        <v>110</v>
      </c>
      <c r="AZ6" s="31" t="s">
        <v>89</v>
      </c>
      <c r="BA6" s="13" t="s">
        <v>111</v>
      </c>
      <c r="BB6" s="13" t="s">
        <v>112</v>
      </c>
      <c r="BC6" s="13" t="s">
        <v>113</v>
      </c>
      <c r="BD6" s="13" t="s">
        <v>114</v>
      </c>
      <c r="BE6" s="13" t="s">
        <v>115</v>
      </c>
      <c r="BF6" s="30" t="s">
        <v>86</v>
      </c>
      <c r="BG6" s="30" t="s">
        <v>86</v>
      </c>
      <c r="BH6" s="30" t="s">
        <v>86</v>
      </c>
      <c r="BI6" s="32"/>
      <c r="BJ6" s="32"/>
      <c r="BK6" s="28"/>
      <c r="BN6" s="13" t="s">
        <v>116</v>
      </c>
      <c r="BO6" s="33" t="n">
        <v>1</v>
      </c>
      <c r="BP6" s="13" t="s">
        <v>117</v>
      </c>
    </row>
    <row r="7" customFormat="false" ht="15" hidden="false" customHeight="true" outlineLevel="0" collapsed="false">
      <c r="A7" s="0" t="s">
        <v>77</v>
      </c>
      <c r="B7" s="0" t="s">
        <v>77</v>
      </c>
      <c r="C7" s="34" t="n">
        <v>3</v>
      </c>
      <c r="D7" s="13" t="s">
        <v>118</v>
      </c>
      <c r="E7" s="13" t="s">
        <v>119</v>
      </c>
      <c r="G7" s="23" t="s">
        <v>118</v>
      </c>
      <c r="I7" s="26" t="s">
        <v>106</v>
      </c>
      <c r="J7" s="24" t="s">
        <v>120</v>
      </c>
      <c r="K7" s="13" t="s">
        <v>121</v>
      </c>
      <c r="L7" s="25" t="s">
        <v>118</v>
      </c>
      <c r="M7" s="26"/>
      <c r="N7" s="26"/>
      <c r="O7" s="26"/>
      <c r="P7" s="26"/>
      <c r="Q7" s="26"/>
      <c r="R7" s="27" t="s">
        <v>82</v>
      </c>
      <c r="S7" s="26" t="s">
        <v>82</v>
      </c>
      <c r="T7" s="26"/>
      <c r="U7" s="26"/>
      <c r="V7" s="26"/>
      <c r="W7" s="26"/>
      <c r="X7" s="27" t="s">
        <v>82</v>
      </c>
      <c r="Y7" s="26" t="s">
        <v>82</v>
      </c>
      <c r="Z7" s="26"/>
      <c r="AA7" s="26"/>
      <c r="AB7" s="26"/>
      <c r="AC7" s="26"/>
      <c r="AD7" s="26"/>
      <c r="AG7" s="13" t="s">
        <v>122</v>
      </c>
      <c r="AM7" s="28" t="s">
        <v>109</v>
      </c>
      <c r="AS7" s="30"/>
      <c r="AT7" s="30" t="s">
        <v>86</v>
      </c>
      <c r="AU7" s="30" t="s">
        <v>86</v>
      </c>
      <c r="AV7" s="30" t="s">
        <v>86</v>
      </c>
      <c r="AW7" s="28" t="s">
        <v>87</v>
      </c>
      <c r="AX7" s="31" t="s">
        <v>123</v>
      </c>
      <c r="AZ7" s="31" t="s">
        <v>89</v>
      </c>
      <c r="BA7" s="13" t="s">
        <v>111</v>
      </c>
      <c r="BB7" s="13" t="s">
        <v>124</v>
      </c>
      <c r="BC7" s="13" t="s">
        <v>125</v>
      </c>
      <c r="BD7" s="13" t="s">
        <v>126</v>
      </c>
      <c r="BE7" s="13" t="s">
        <v>127</v>
      </c>
      <c r="BF7" s="30" t="s">
        <v>86</v>
      </c>
      <c r="BG7" s="30" t="s">
        <v>86</v>
      </c>
      <c r="BH7" s="30" t="s">
        <v>86</v>
      </c>
      <c r="BI7" s="32"/>
      <c r="BJ7" s="32"/>
      <c r="BK7" s="28"/>
      <c r="BN7" s="13" t="s">
        <v>128</v>
      </c>
      <c r="BO7" s="33" t="n">
        <v>1</v>
      </c>
      <c r="BP7" s="13" t="s">
        <v>129</v>
      </c>
    </row>
    <row r="8" customFormat="false" ht="15" hidden="false" customHeight="true" outlineLevel="0" collapsed="false">
      <c r="A8" s="0" t="s">
        <v>77</v>
      </c>
      <c r="B8" s="0" t="s">
        <v>77</v>
      </c>
      <c r="C8" s="34" t="n">
        <v>4</v>
      </c>
      <c r="D8" s="13" t="s">
        <v>130</v>
      </c>
      <c r="E8" s="13" t="s">
        <v>131</v>
      </c>
      <c r="G8" s="23" t="s">
        <v>130</v>
      </c>
      <c r="I8" s="26" t="s">
        <v>106</v>
      </c>
      <c r="J8" s="24" t="s">
        <v>132</v>
      </c>
      <c r="K8" s="13" t="s">
        <v>133</v>
      </c>
      <c r="L8" s="25" t="s">
        <v>130</v>
      </c>
      <c r="M8" s="26"/>
      <c r="N8" s="26"/>
      <c r="O8" s="26"/>
      <c r="P8" s="26"/>
      <c r="Q8" s="26"/>
      <c r="R8" s="27" t="s">
        <v>82</v>
      </c>
      <c r="S8" s="26" t="s">
        <v>82</v>
      </c>
      <c r="T8" s="26"/>
      <c r="U8" s="26"/>
      <c r="V8" s="26"/>
      <c r="W8" s="26"/>
      <c r="X8" s="27" t="s">
        <v>82</v>
      </c>
      <c r="Y8" s="26" t="s">
        <v>82</v>
      </c>
      <c r="Z8" s="26"/>
      <c r="AA8" s="26"/>
      <c r="AB8" s="26"/>
      <c r="AC8" s="26"/>
      <c r="AD8" s="26"/>
      <c r="AG8" s="13" t="s">
        <v>122</v>
      </c>
      <c r="AM8" s="28" t="s">
        <v>109</v>
      </c>
      <c r="AS8" s="26" t="s">
        <v>134</v>
      </c>
      <c r="AT8" s="30" t="s">
        <v>86</v>
      </c>
      <c r="AU8" s="30" t="s">
        <v>86</v>
      </c>
      <c r="AV8" s="30" t="s">
        <v>86</v>
      </c>
      <c r="AW8" s="28" t="s">
        <v>87</v>
      </c>
      <c r="AX8" s="31" t="s">
        <v>135</v>
      </c>
      <c r="AZ8" s="31" t="s">
        <v>89</v>
      </c>
      <c r="BA8" s="13" t="s">
        <v>111</v>
      </c>
      <c r="BB8" s="13" t="s">
        <v>136</v>
      </c>
      <c r="BC8" s="13" t="s">
        <v>137</v>
      </c>
      <c r="BD8" s="13" t="s">
        <v>138</v>
      </c>
      <c r="BE8" s="13" t="s">
        <v>139</v>
      </c>
      <c r="BF8" s="30" t="s">
        <v>86</v>
      </c>
      <c r="BG8" s="30" t="s">
        <v>86</v>
      </c>
      <c r="BH8" s="30" t="s">
        <v>86</v>
      </c>
      <c r="BI8" s="32"/>
      <c r="BJ8" s="32"/>
      <c r="BK8" s="28"/>
      <c r="BN8" s="13" t="s">
        <v>140</v>
      </c>
      <c r="BO8" s="33" t="n">
        <v>1</v>
      </c>
      <c r="BP8" s="13" t="s">
        <v>141</v>
      </c>
    </row>
    <row r="9" customFormat="false" ht="15" hidden="false" customHeight="true" outlineLevel="0" collapsed="false">
      <c r="A9" s="39" t="s">
        <v>77</v>
      </c>
      <c r="B9" s="39" t="s">
        <v>77</v>
      </c>
      <c r="C9" s="34" t="n">
        <v>5</v>
      </c>
      <c r="D9" s="13" t="s">
        <v>142</v>
      </c>
      <c r="E9" s="13" t="s">
        <v>143</v>
      </c>
      <c r="G9" s="26" t="s">
        <v>144</v>
      </c>
      <c r="I9" s="26" t="s">
        <v>145</v>
      </c>
      <c r="J9" s="24" t="s">
        <v>146</v>
      </c>
      <c r="K9" s="38"/>
      <c r="L9" s="25" t="s">
        <v>142</v>
      </c>
      <c r="M9" s="26"/>
      <c r="N9" s="26"/>
      <c r="O9" s="26"/>
      <c r="P9" s="26"/>
      <c r="Q9" s="26"/>
      <c r="R9" s="27" t="s">
        <v>82</v>
      </c>
      <c r="S9" s="26" t="s">
        <v>82</v>
      </c>
      <c r="T9" s="26"/>
      <c r="U9" s="26"/>
      <c r="V9" s="26"/>
      <c r="W9" s="26"/>
      <c r="X9" s="27" t="s">
        <v>82</v>
      </c>
      <c r="Y9" s="26" t="s">
        <v>82</v>
      </c>
      <c r="Z9" s="26"/>
      <c r="AA9" s="26"/>
      <c r="AB9" s="26"/>
      <c r="AC9" s="26"/>
      <c r="AD9" s="26"/>
      <c r="AG9" s="13" t="s">
        <v>83</v>
      </c>
      <c r="AM9" s="28" t="s">
        <v>147</v>
      </c>
      <c r="AN9" s="28" t="n">
        <v>255</v>
      </c>
      <c r="AS9" s="13" t="s">
        <v>148</v>
      </c>
      <c r="AT9" s="30" t="s">
        <v>86</v>
      </c>
      <c r="AU9" s="30" t="s">
        <v>86</v>
      </c>
      <c r="AV9" s="30" t="s">
        <v>86</v>
      </c>
      <c r="AW9" s="28" t="s">
        <v>87</v>
      </c>
      <c r="AX9" s="31" t="s">
        <v>149</v>
      </c>
      <c r="AZ9" s="31" t="s">
        <v>89</v>
      </c>
      <c r="BA9" s="30" t="s">
        <v>92</v>
      </c>
      <c r="BB9" s="30" t="s">
        <v>92</v>
      </c>
      <c r="BC9" s="30" t="s">
        <v>92</v>
      </c>
      <c r="BD9" s="30" t="s">
        <v>92</v>
      </c>
      <c r="BE9" s="30" t="s">
        <v>92</v>
      </c>
      <c r="BF9" s="30" t="s">
        <v>86</v>
      </c>
      <c r="BG9" s="30" t="s">
        <v>86</v>
      </c>
      <c r="BH9" s="30" t="s">
        <v>86</v>
      </c>
      <c r="BI9" s="32"/>
      <c r="BJ9" s="40"/>
      <c r="BK9" s="28"/>
      <c r="BN9" s="13" t="s">
        <v>150</v>
      </c>
      <c r="BO9" s="33" t="n">
        <v>2</v>
      </c>
      <c r="BP9" s="41" t="s">
        <v>151</v>
      </c>
    </row>
    <row r="10" customFormat="false" ht="15" hidden="false" customHeight="true" outlineLevel="0" collapsed="false">
      <c r="A10" s="39" t="s">
        <v>77</v>
      </c>
      <c r="B10" s="39" t="s">
        <v>77</v>
      </c>
      <c r="C10" s="34" t="n">
        <v>6</v>
      </c>
      <c r="D10" s="13" t="s">
        <v>152</v>
      </c>
      <c r="E10" s="13" t="s">
        <v>153</v>
      </c>
      <c r="G10" s="23" t="s">
        <v>152</v>
      </c>
      <c r="I10" s="26" t="s">
        <v>106</v>
      </c>
      <c r="J10" s="24" t="s">
        <v>154</v>
      </c>
      <c r="K10" s="13" t="s">
        <v>155</v>
      </c>
      <c r="L10" s="25" t="s">
        <v>152</v>
      </c>
      <c r="M10" s="26"/>
      <c r="N10" s="26"/>
      <c r="O10" s="26"/>
      <c r="P10" s="26"/>
      <c r="Q10" s="26"/>
      <c r="R10" s="27" t="s">
        <v>82</v>
      </c>
      <c r="S10" s="26" t="s">
        <v>82</v>
      </c>
      <c r="T10" s="26"/>
      <c r="U10" s="26"/>
      <c r="V10" s="26"/>
      <c r="W10" s="26"/>
      <c r="X10" s="27" t="s">
        <v>82</v>
      </c>
      <c r="Y10" s="26" t="s">
        <v>82</v>
      </c>
      <c r="Z10" s="26"/>
      <c r="AA10" s="26"/>
      <c r="AB10" s="26"/>
      <c r="AC10" s="26"/>
      <c r="AD10" s="26"/>
      <c r="AG10" s="13" t="s">
        <v>122</v>
      </c>
      <c r="AM10" s="28" t="s">
        <v>109</v>
      </c>
      <c r="AN10" s="28"/>
      <c r="AS10" s="26" t="s">
        <v>156</v>
      </c>
      <c r="AT10" s="30" t="s">
        <v>86</v>
      </c>
      <c r="AU10" s="30" t="s">
        <v>86</v>
      </c>
      <c r="AV10" s="30" t="s">
        <v>86</v>
      </c>
      <c r="AW10" s="28" t="s">
        <v>87</v>
      </c>
      <c r="AX10" s="31" t="s">
        <v>157</v>
      </c>
      <c r="AZ10" s="31" t="s">
        <v>89</v>
      </c>
      <c r="BA10" s="13" t="s">
        <v>111</v>
      </c>
      <c r="BB10" s="13" t="s">
        <v>158</v>
      </c>
      <c r="BC10" s="13" t="s">
        <v>159</v>
      </c>
      <c r="BD10" s="13" t="s">
        <v>158</v>
      </c>
      <c r="BE10" s="13" t="s">
        <v>160</v>
      </c>
      <c r="BF10" s="30" t="s">
        <v>86</v>
      </c>
      <c r="BG10" s="30" t="s">
        <v>86</v>
      </c>
      <c r="BH10" s="30" t="s">
        <v>86</v>
      </c>
      <c r="BI10" s="32"/>
      <c r="BJ10" s="32"/>
      <c r="BK10" s="28"/>
      <c r="BN10" s="13" t="s">
        <v>161</v>
      </c>
      <c r="BO10" s="33" t="n">
        <v>1</v>
      </c>
      <c r="BP10" s="13" t="s">
        <v>162</v>
      </c>
    </row>
    <row r="11" customFormat="false" ht="15" hidden="false" customHeight="true" outlineLevel="0" collapsed="false">
      <c r="A11" s="39" t="s">
        <v>77</v>
      </c>
      <c r="B11" s="39" t="s">
        <v>77</v>
      </c>
      <c r="C11" s="34" t="n">
        <v>7</v>
      </c>
      <c r="D11" s="13" t="s">
        <v>163</v>
      </c>
      <c r="E11" s="13" t="s">
        <v>143</v>
      </c>
      <c r="G11" s="26" t="s">
        <v>144</v>
      </c>
      <c r="I11" s="26" t="s">
        <v>145</v>
      </c>
      <c r="J11" s="24" t="s">
        <v>146</v>
      </c>
      <c r="K11" s="38"/>
      <c r="L11" s="25" t="s">
        <v>163</v>
      </c>
      <c r="M11" s="26"/>
      <c r="N11" s="26"/>
      <c r="O11" s="26"/>
      <c r="P11" s="26"/>
      <c r="Q11" s="26"/>
      <c r="R11" s="27" t="s">
        <v>82</v>
      </c>
      <c r="S11" s="26" t="s">
        <v>82</v>
      </c>
      <c r="T11" s="26"/>
      <c r="U11" s="26"/>
      <c r="V11" s="26"/>
      <c r="W11" s="26"/>
      <c r="X11" s="27" t="s">
        <v>82</v>
      </c>
      <c r="Y11" s="26" t="s">
        <v>82</v>
      </c>
      <c r="Z11" s="26"/>
      <c r="AA11" s="26"/>
      <c r="AB11" s="26"/>
      <c r="AC11" s="26"/>
      <c r="AD11" s="26"/>
      <c r="AG11" s="13" t="s">
        <v>83</v>
      </c>
      <c r="AM11" s="28" t="s">
        <v>147</v>
      </c>
      <c r="AN11" s="28" t="n">
        <v>255</v>
      </c>
      <c r="AS11" s="13" t="s">
        <v>164</v>
      </c>
      <c r="AT11" s="30" t="s">
        <v>86</v>
      </c>
      <c r="AU11" s="30" t="s">
        <v>86</v>
      </c>
      <c r="AV11" s="30" t="s">
        <v>86</v>
      </c>
      <c r="AW11" s="28" t="s">
        <v>87</v>
      </c>
      <c r="AX11" s="31" t="s">
        <v>149</v>
      </c>
      <c r="AZ11" s="31" t="s">
        <v>89</v>
      </c>
      <c r="BA11" s="13" t="s">
        <v>111</v>
      </c>
      <c r="BB11" s="13" t="s">
        <v>165</v>
      </c>
      <c r="BC11" s="13" t="s">
        <v>166</v>
      </c>
      <c r="BD11" s="30" t="s">
        <v>92</v>
      </c>
      <c r="BE11" s="30" t="s">
        <v>92</v>
      </c>
      <c r="BF11" s="30" t="s">
        <v>86</v>
      </c>
      <c r="BG11" s="30" t="s">
        <v>86</v>
      </c>
      <c r="BH11" s="30" t="s">
        <v>86</v>
      </c>
      <c r="BI11" s="32"/>
      <c r="BJ11" s="32"/>
      <c r="BK11" s="28"/>
      <c r="BN11" s="13" t="s">
        <v>150</v>
      </c>
      <c r="BO11" s="33" t="n">
        <v>2</v>
      </c>
      <c r="BP11" s="41" t="s">
        <v>167</v>
      </c>
    </row>
    <row r="12" customFormat="false" ht="15" hidden="false" customHeight="true" outlineLevel="0" collapsed="false">
      <c r="A12" s="0" t="s">
        <v>168</v>
      </c>
      <c r="B12" s="0" t="s">
        <v>168</v>
      </c>
      <c r="C12" s="34" t="n">
        <v>8</v>
      </c>
      <c r="D12" s="13" t="s">
        <v>169</v>
      </c>
      <c r="E12" s="13" t="s">
        <v>170</v>
      </c>
      <c r="G12" s="23"/>
      <c r="I12" s="13" t="s">
        <v>171</v>
      </c>
      <c r="J12" s="24" t="s">
        <v>169</v>
      </c>
      <c r="K12" s="2"/>
      <c r="L12" s="25"/>
      <c r="M12" s="26"/>
      <c r="N12" s="26"/>
      <c r="O12" s="26"/>
      <c r="P12" s="26"/>
      <c r="Q12" s="26"/>
      <c r="R12" s="27" t="s">
        <v>82</v>
      </c>
      <c r="S12" s="26" t="s">
        <v>82</v>
      </c>
      <c r="T12" s="26"/>
      <c r="U12" s="26"/>
      <c r="V12" s="26"/>
      <c r="W12" s="26"/>
      <c r="X12" s="27" t="s">
        <v>82</v>
      </c>
      <c r="Y12" s="26" t="s">
        <v>82</v>
      </c>
      <c r="Z12" s="26"/>
      <c r="AA12" s="26"/>
      <c r="AB12" s="26"/>
      <c r="AC12" s="26"/>
      <c r="AD12" s="26"/>
      <c r="AG12" s="13" t="s">
        <v>122</v>
      </c>
      <c r="AM12" s="28" t="s">
        <v>172</v>
      </c>
      <c r="AN12" s="28"/>
      <c r="AP12" s="0" t="n">
        <v>0</v>
      </c>
      <c r="AT12" s="30" t="s">
        <v>86</v>
      </c>
      <c r="AU12" s="30" t="s">
        <v>86</v>
      </c>
      <c r="AV12" s="30" t="s">
        <v>86</v>
      </c>
      <c r="AW12" s="28" t="s">
        <v>87</v>
      </c>
      <c r="AX12" s="31" t="s">
        <v>173</v>
      </c>
      <c r="AZ12" s="31" t="s">
        <v>174</v>
      </c>
      <c r="BA12" s="13" t="s">
        <v>175</v>
      </c>
      <c r="BB12" s="13" t="s">
        <v>176</v>
      </c>
      <c r="BC12" s="13" t="s">
        <v>177</v>
      </c>
      <c r="BD12" s="30" t="s">
        <v>92</v>
      </c>
      <c r="BE12" s="30" t="s">
        <v>92</v>
      </c>
      <c r="BF12" s="30" t="s">
        <v>86</v>
      </c>
      <c r="BG12" s="30" t="s">
        <v>86</v>
      </c>
      <c r="BH12" s="30" t="s">
        <v>86</v>
      </c>
      <c r="BI12" s="32"/>
      <c r="BJ12" s="32"/>
      <c r="BK12" s="28"/>
      <c r="BN12" s="13" t="s">
        <v>178</v>
      </c>
      <c r="BO12" s="33" t="n">
        <v>1</v>
      </c>
      <c r="BP12" s="13" t="s">
        <v>179</v>
      </c>
    </row>
    <row r="13" customFormat="false" ht="15" hidden="false" customHeight="true" outlineLevel="0" collapsed="false">
      <c r="A13" s="0" t="s">
        <v>168</v>
      </c>
      <c r="B13" s="0" t="s">
        <v>168</v>
      </c>
      <c r="C13" s="34" t="n">
        <v>8</v>
      </c>
      <c r="D13" s="35"/>
      <c r="E13" s="35"/>
      <c r="G13" s="23"/>
      <c r="J13" s="24"/>
      <c r="K13" s="2"/>
      <c r="L13" s="25"/>
      <c r="M13" s="26"/>
      <c r="N13" s="26"/>
      <c r="O13" s="26"/>
      <c r="P13" s="26"/>
      <c r="Q13" s="26"/>
      <c r="R13" s="27"/>
      <c r="S13" s="26"/>
      <c r="T13" s="26"/>
      <c r="U13" s="26"/>
      <c r="V13" s="26"/>
      <c r="W13" s="26"/>
      <c r="X13" s="27"/>
      <c r="Y13" s="26"/>
      <c r="Z13" s="26"/>
      <c r="AA13" s="26"/>
      <c r="AB13" s="26"/>
      <c r="AC13" s="26"/>
      <c r="AD13" s="26"/>
      <c r="AM13" s="28"/>
      <c r="AN13" s="28"/>
      <c r="AT13" s="30" t="s">
        <v>86</v>
      </c>
      <c r="AU13" s="30" t="s">
        <v>86</v>
      </c>
      <c r="AV13" s="30" t="s">
        <v>86</v>
      </c>
      <c r="AW13" s="28"/>
      <c r="AZ13" s="31" t="s">
        <v>174</v>
      </c>
      <c r="BA13" s="13" t="s">
        <v>111</v>
      </c>
      <c r="BB13" s="13" t="s">
        <v>180</v>
      </c>
      <c r="BD13" s="13" t="s">
        <v>181</v>
      </c>
      <c r="BE13" s="30" t="s">
        <v>92</v>
      </c>
      <c r="BF13" s="30" t="s">
        <v>86</v>
      </c>
      <c r="BG13" s="30" t="s">
        <v>86</v>
      </c>
      <c r="BH13" s="30" t="s">
        <v>86</v>
      </c>
      <c r="BI13" s="32" t="s">
        <v>182</v>
      </c>
      <c r="BJ13" s="32" t="s">
        <v>183</v>
      </c>
      <c r="BK13" s="28"/>
      <c r="BN13" s="13" t="s">
        <v>99</v>
      </c>
      <c r="BO13" s="33" t="n">
        <v>4</v>
      </c>
    </row>
    <row r="14" customFormat="false" ht="15" hidden="false" customHeight="true" outlineLevel="0" collapsed="false">
      <c r="A14" s="0" t="s">
        <v>168</v>
      </c>
      <c r="B14" s="0" t="s">
        <v>168</v>
      </c>
      <c r="C14" s="34" t="n">
        <v>9</v>
      </c>
      <c r="D14" s="13" t="s">
        <v>184</v>
      </c>
      <c r="E14" s="13" t="s">
        <v>185</v>
      </c>
      <c r="G14" s="23" t="s">
        <v>184</v>
      </c>
      <c r="H14" s="13" t="s">
        <v>186</v>
      </c>
      <c r="I14" s="13" t="s">
        <v>171</v>
      </c>
      <c r="J14" s="24" t="s">
        <v>187</v>
      </c>
      <c r="K14" s="2"/>
      <c r="L14" s="25" t="s">
        <v>184</v>
      </c>
      <c r="M14" s="26"/>
      <c r="N14" s="26"/>
      <c r="O14" s="26"/>
      <c r="P14" s="26"/>
      <c r="Q14" s="26"/>
      <c r="R14" s="27" t="s">
        <v>82</v>
      </c>
      <c r="S14" s="26" t="s">
        <v>82</v>
      </c>
      <c r="T14" s="26"/>
      <c r="U14" s="26"/>
      <c r="V14" s="26"/>
      <c r="W14" s="26"/>
      <c r="X14" s="27" t="s">
        <v>82</v>
      </c>
      <c r="Y14" s="26" t="s">
        <v>82</v>
      </c>
      <c r="Z14" s="26"/>
      <c r="AA14" s="26"/>
      <c r="AB14" s="26"/>
      <c r="AC14" s="26"/>
      <c r="AD14" s="26"/>
      <c r="AG14" s="13" t="s">
        <v>83</v>
      </c>
      <c r="AM14" s="28" t="s">
        <v>172</v>
      </c>
      <c r="AN14" s="28"/>
      <c r="AP14" s="0" t="n">
        <v>0</v>
      </c>
      <c r="AT14" s="30" t="s">
        <v>86</v>
      </c>
      <c r="AU14" s="30" t="s">
        <v>86</v>
      </c>
      <c r="AV14" s="30" t="s">
        <v>86</v>
      </c>
      <c r="AW14" s="28" t="s">
        <v>87</v>
      </c>
      <c r="AX14" s="31" t="s">
        <v>188</v>
      </c>
      <c r="AY14" s="31" t="s">
        <v>189</v>
      </c>
      <c r="AZ14" s="31" t="s">
        <v>174</v>
      </c>
      <c r="BA14" s="13" t="s">
        <v>190</v>
      </c>
      <c r="BB14" s="13" t="s">
        <v>191</v>
      </c>
      <c r="BC14" s="13" t="s">
        <v>192</v>
      </c>
      <c r="BD14" s="30" t="s">
        <v>92</v>
      </c>
      <c r="BE14" s="30" t="s">
        <v>92</v>
      </c>
      <c r="BF14" s="30" t="s">
        <v>86</v>
      </c>
      <c r="BG14" s="30" t="s">
        <v>86</v>
      </c>
      <c r="BH14" s="30" t="s">
        <v>86</v>
      </c>
      <c r="BI14" s="32"/>
      <c r="BJ14" s="32"/>
      <c r="BK14" s="42"/>
      <c r="BN14" s="13" t="s">
        <v>193</v>
      </c>
      <c r="BO14" s="33" t="n">
        <v>1</v>
      </c>
      <c r="BP14" s="13" t="s">
        <v>194</v>
      </c>
    </row>
    <row r="15" customFormat="false" ht="15" hidden="false" customHeight="true" outlineLevel="0" collapsed="false">
      <c r="A15" s="0" t="s">
        <v>168</v>
      </c>
      <c r="B15" s="0" t="s">
        <v>168</v>
      </c>
      <c r="C15" s="34" t="n">
        <v>10</v>
      </c>
      <c r="D15" s="13" t="s">
        <v>71</v>
      </c>
      <c r="E15" s="13" t="s">
        <v>195</v>
      </c>
      <c r="G15" s="23"/>
      <c r="I15" s="13" t="s">
        <v>145</v>
      </c>
      <c r="J15" s="24" t="s">
        <v>71</v>
      </c>
      <c r="L15" s="25"/>
      <c r="M15" s="26"/>
      <c r="N15" s="26"/>
      <c r="O15" s="26"/>
      <c r="P15" s="26"/>
      <c r="Q15" s="26"/>
      <c r="R15" s="27" t="s">
        <v>82</v>
      </c>
      <c r="S15" s="26" t="s">
        <v>82</v>
      </c>
      <c r="T15" s="26"/>
      <c r="U15" s="26"/>
      <c r="V15" s="26"/>
      <c r="W15" s="26"/>
      <c r="X15" s="27" t="s">
        <v>82</v>
      </c>
      <c r="Y15" s="26" t="s">
        <v>82</v>
      </c>
      <c r="Z15" s="26"/>
      <c r="AA15" s="26"/>
      <c r="AB15" s="26"/>
      <c r="AC15" s="26"/>
      <c r="AD15" s="26"/>
      <c r="AG15" s="13" t="s">
        <v>83</v>
      </c>
      <c r="AM15" s="28" t="s">
        <v>196</v>
      </c>
      <c r="AN15" s="28" t="n">
        <v>3000</v>
      </c>
      <c r="AT15" s="30" t="s">
        <v>86</v>
      </c>
      <c r="AU15" s="30" t="s">
        <v>86</v>
      </c>
      <c r="AV15" s="30" t="s">
        <v>86</v>
      </c>
      <c r="AW15" s="28" t="s">
        <v>87</v>
      </c>
      <c r="AX15" s="31" t="s">
        <v>197</v>
      </c>
      <c r="AZ15" s="31" t="s">
        <v>174</v>
      </c>
      <c r="BA15" s="30" t="s">
        <v>92</v>
      </c>
      <c r="BB15" s="30" t="s">
        <v>92</v>
      </c>
      <c r="BC15" s="30" t="s">
        <v>92</v>
      </c>
      <c r="BD15" s="30" t="s">
        <v>92</v>
      </c>
      <c r="BE15" s="30" t="s">
        <v>92</v>
      </c>
      <c r="BF15" s="30" t="s">
        <v>86</v>
      </c>
      <c r="BG15" s="30" t="s">
        <v>86</v>
      </c>
      <c r="BH15" s="30" t="s">
        <v>86</v>
      </c>
      <c r="BI15" s="32"/>
      <c r="BJ15" s="40"/>
      <c r="BK15" s="28"/>
      <c r="BN15" s="13" t="s">
        <v>198</v>
      </c>
      <c r="BO15" s="33" t="n">
        <v>1</v>
      </c>
      <c r="BP15" s="13" t="s">
        <v>199</v>
      </c>
    </row>
    <row r="16" customFormat="false" ht="15" hidden="false" customHeight="true" outlineLevel="0" collapsed="false">
      <c r="A16" s="0" t="s">
        <v>168</v>
      </c>
      <c r="B16" s="0" t="s">
        <v>168</v>
      </c>
      <c r="C16" s="34" t="n">
        <v>11</v>
      </c>
      <c r="D16" s="13" t="s">
        <v>200</v>
      </c>
      <c r="E16" s="39"/>
      <c r="G16" s="23"/>
      <c r="I16" s="13" t="s">
        <v>145</v>
      </c>
      <c r="J16" s="24"/>
      <c r="L16" s="25"/>
      <c r="M16" s="26"/>
      <c r="N16" s="26"/>
      <c r="O16" s="26"/>
      <c r="P16" s="26"/>
      <c r="Q16" s="26"/>
      <c r="R16" s="27" t="s">
        <v>82</v>
      </c>
      <c r="S16" s="26" t="s">
        <v>82</v>
      </c>
      <c r="T16" s="26"/>
      <c r="U16" s="26"/>
      <c r="V16" s="26"/>
      <c r="W16" s="26"/>
      <c r="X16" s="27" t="s">
        <v>82</v>
      </c>
      <c r="Y16" s="26" t="s">
        <v>82</v>
      </c>
      <c r="Z16" s="26"/>
      <c r="AA16" s="26"/>
      <c r="AB16" s="26"/>
      <c r="AC16" s="26"/>
      <c r="AD16" s="26"/>
      <c r="AG16" s="13" t="s">
        <v>122</v>
      </c>
      <c r="AM16" s="28" t="s">
        <v>201</v>
      </c>
      <c r="AN16" s="28"/>
      <c r="AT16" s="30" t="s">
        <v>86</v>
      </c>
      <c r="AU16" s="30" t="s">
        <v>86</v>
      </c>
      <c r="AV16" s="30" t="s">
        <v>86</v>
      </c>
      <c r="AW16" s="28" t="s">
        <v>87</v>
      </c>
      <c r="AX16" s="31" t="s">
        <v>202</v>
      </c>
      <c r="AZ16" s="31" t="s">
        <v>174</v>
      </c>
      <c r="BA16" s="30" t="s">
        <v>92</v>
      </c>
      <c r="BB16" s="30" t="s">
        <v>92</v>
      </c>
      <c r="BC16" s="30" t="s">
        <v>92</v>
      </c>
      <c r="BD16" s="30" t="s">
        <v>92</v>
      </c>
      <c r="BE16" s="30" t="s">
        <v>92</v>
      </c>
      <c r="BF16" s="30" t="s">
        <v>86</v>
      </c>
      <c r="BG16" s="30" t="s">
        <v>86</v>
      </c>
      <c r="BH16" s="30" t="s">
        <v>86</v>
      </c>
      <c r="BI16" s="32"/>
      <c r="BJ16" s="40"/>
      <c r="BK16" s="28"/>
      <c r="BN16" s="13" t="s">
        <v>99</v>
      </c>
      <c r="BO16" s="33" t="n">
        <v>4</v>
      </c>
      <c r="BP16" s="41" t="s">
        <v>203</v>
      </c>
    </row>
    <row r="17" customFormat="false" ht="15" hidden="false" customHeight="true" outlineLevel="0" collapsed="false">
      <c r="A17" s="0" t="s">
        <v>168</v>
      </c>
      <c r="B17" s="0" t="s">
        <v>168</v>
      </c>
      <c r="C17" s="34" t="n">
        <v>12</v>
      </c>
      <c r="D17" s="13" t="s">
        <v>204</v>
      </c>
      <c r="E17" s="13" t="s">
        <v>205</v>
      </c>
      <c r="G17" s="23"/>
      <c r="I17" s="13" t="s">
        <v>145</v>
      </c>
      <c r="J17" s="24"/>
      <c r="L17" s="25"/>
      <c r="M17" s="26"/>
      <c r="N17" s="26"/>
      <c r="O17" s="26"/>
      <c r="P17" s="26"/>
      <c r="Q17" s="26"/>
      <c r="R17" s="27" t="s">
        <v>82</v>
      </c>
      <c r="S17" s="26" t="s">
        <v>82</v>
      </c>
      <c r="T17" s="26"/>
      <c r="U17" s="26"/>
      <c r="V17" s="26"/>
      <c r="W17" s="26"/>
      <c r="X17" s="27" t="s">
        <v>82</v>
      </c>
      <c r="Y17" s="26" t="s">
        <v>82</v>
      </c>
      <c r="Z17" s="26"/>
      <c r="AA17" s="26"/>
      <c r="AB17" s="26"/>
      <c r="AC17" s="26"/>
      <c r="AD17" s="26"/>
      <c r="AG17" s="13" t="s">
        <v>122</v>
      </c>
      <c r="AM17" s="28" t="s">
        <v>206</v>
      </c>
      <c r="AN17" s="28"/>
      <c r="AT17" s="30" t="s">
        <v>86</v>
      </c>
      <c r="AU17" s="30" t="s">
        <v>86</v>
      </c>
      <c r="AV17" s="30" t="s">
        <v>86</v>
      </c>
      <c r="AW17" s="28" t="s">
        <v>87</v>
      </c>
      <c r="AX17" s="31" t="s">
        <v>207</v>
      </c>
      <c r="AZ17" s="31" t="s">
        <v>174</v>
      </c>
      <c r="BA17" s="30" t="s">
        <v>92</v>
      </c>
      <c r="BB17" s="30" t="s">
        <v>92</v>
      </c>
      <c r="BC17" s="30" t="s">
        <v>92</v>
      </c>
      <c r="BD17" s="30" t="s">
        <v>92</v>
      </c>
      <c r="BE17" s="30" t="s">
        <v>92</v>
      </c>
      <c r="BF17" s="30" t="s">
        <v>86</v>
      </c>
      <c r="BG17" s="30" t="s">
        <v>86</v>
      </c>
      <c r="BH17" s="30" t="s">
        <v>86</v>
      </c>
      <c r="BI17" s="32"/>
      <c r="BJ17" s="40"/>
      <c r="BK17" s="42" t="s">
        <v>208</v>
      </c>
      <c r="BN17" s="13" t="s">
        <v>209</v>
      </c>
      <c r="BO17" s="33" t="n">
        <v>1</v>
      </c>
      <c r="BP17" s="41" t="s">
        <v>210</v>
      </c>
    </row>
  </sheetData>
  <sheetProtection sheet="true" objects="true" scenarios="true"/>
  <autoFilter ref="A2:BP17"/>
  <mergeCells count="5">
    <mergeCell ref="M1:R1"/>
    <mergeCell ref="S1:X1"/>
    <mergeCell ref="Y1:AD1"/>
    <mergeCell ref="AF1:AL1"/>
    <mergeCell ref="BA1:BF1"/>
  </mergeCells>
  <conditionalFormatting sqref="AE1:AE1048576">
    <cfRule type="cellIs" priority="2" operator="equal" aboveAverage="0" equalAverage="0" bottom="0" percent="0" rank="0" text="" dxfId="14">
      <formula>"Missing"</formula>
    </cfRule>
    <cfRule type="cellIs" priority="3" operator="equal" aboveAverage="0" equalAverage="0" bottom="0" percent="0" rank="0" text="" dxfId="15">
      <formula>"Found"</formula>
    </cfRule>
  </conditionalFormatting>
  <dataValidations count="1">
    <dataValidation allowBlank="true" errorStyle="stop" operator="between" showDropDown="false" showErrorMessage="true" showInputMessage="true" sqref="AG3:AG5" type="list">
      <formula1>"Yes,No"</formula1>
      <formula2>0</formula2>
    </dataValidation>
  </dataValidations>
  <hyperlinks>
    <hyperlink ref="Y8" r:id="rId1" location="/orgs/PIH/sources/PIH/concepts/11521/" display=" "/>
    <hyperlink ref="S9" r:id="rId2" location="/orgs/CIEL/sources/CIEL/concepts/143264/" display=" "/>
    <hyperlink ref="Y9" r:id="rId3" location="/orgs/PIH/sources/PIH/concepts/107/" display=" "/>
    <hyperlink ref="S11" r:id="rId4" location="/orgs/CIEL/sources/CIEL/concepts/143264/" display=" "/>
    <hyperlink ref="Y11" r:id="rId5" location="/orgs/PIH/sources/PIH/concepts/107/" display=" 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9"/>
    <col collapsed="false" customWidth="true" hidden="false" outlineLevel="0" max="6" min="6" style="0" width="40"/>
    <col collapsed="false" customWidth="true" hidden="false" outlineLevel="0" max="7" min="7" style="0" width="44"/>
    <col collapsed="false" customWidth="true" hidden="false" outlineLevel="0" max="8" min="8" style="0" width="20"/>
    <col collapsed="false" customWidth="true" hidden="false" outlineLevel="0" max="9" min="9" style="0" width="26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6"/>
    <col collapsed="false" customWidth="true" hidden="false" outlineLevel="0" max="14" min="14" style="0" width="32"/>
  </cols>
  <sheetData>
    <row r="1" customFormat="false" ht="15" hidden="false" customHeight="false" outlineLevel="0" collapsed="false">
      <c r="A1" s="43" t="s">
        <v>211</v>
      </c>
      <c r="B1" s="43" t="s">
        <v>212</v>
      </c>
      <c r="C1" s="43" t="s">
        <v>213</v>
      </c>
      <c r="D1" s="43" t="s">
        <v>214</v>
      </c>
      <c r="E1" s="43" t="s">
        <v>215</v>
      </c>
      <c r="F1" s="43" t="s">
        <v>216</v>
      </c>
      <c r="G1" s="43" t="s">
        <v>217</v>
      </c>
      <c r="H1" s="43" t="s">
        <v>218</v>
      </c>
      <c r="I1" s="43" t="s">
        <v>219</v>
      </c>
      <c r="J1" s="43" t="s">
        <v>220</v>
      </c>
      <c r="K1" s="43" t="s">
        <v>221</v>
      </c>
      <c r="L1" s="43" t="s">
        <v>222</v>
      </c>
      <c r="M1" s="43" t="s">
        <v>223</v>
      </c>
      <c r="N1" s="43" t="s">
        <v>224</v>
      </c>
    </row>
    <row r="2" customFormat="false" ht="23.85" hidden="false" customHeight="false" outlineLevel="0" collapsed="false">
      <c r="A2" s="44" t="s">
        <v>225</v>
      </c>
      <c r="B2" s="44" t="s">
        <v>226</v>
      </c>
      <c r="C2" s="45" t="str">
        <f aca="false">IF(B2="","",IFERROR(VLOOKUP(B2,Features!$A$2:$C$200,3,FALSE()),""))</f>
        <v>Platform</v>
      </c>
      <c r="D2" s="44" t="s">
        <v>227</v>
      </c>
      <c r="E2" s="44" t="n">
        <v>1</v>
      </c>
      <c r="F2" s="44" t="s">
        <v>228</v>
      </c>
      <c r="G2" s="44" t="s">
        <v>229</v>
      </c>
      <c r="H2" s="44"/>
      <c r="I2" s="44" t="s">
        <v>230</v>
      </c>
      <c r="J2" s="44"/>
      <c r="K2" s="44" t="s">
        <v>231</v>
      </c>
      <c r="L2" s="44" t="s">
        <v>232</v>
      </c>
      <c r="N2" s="44"/>
    </row>
    <row r="3" customFormat="false" ht="15" hidden="false" customHeight="false" outlineLevel="0" collapsed="false">
      <c r="A3" s="44" t="s">
        <v>233</v>
      </c>
      <c r="B3" s="44" t="s">
        <v>234</v>
      </c>
      <c r="C3" s="45" t="str">
        <f aca="false">IF(B3="","",IFERROR(VLOOKUP(B3,Features!$A$2:$C$200,3,FALSE()),""))</f>
        <v>Platform</v>
      </c>
      <c r="D3" s="44" t="s">
        <v>227</v>
      </c>
      <c r="E3" s="44" t="n">
        <v>1</v>
      </c>
      <c r="F3" s="44" t="s">
        <v>235</v>
      </c>
      <c r="G3" s="44" t="s">
        <v>236</v>
      </c>
      <c r="H3" s="44"/>
      <c r="I3" s="44" t="s">
        <v>230</v>
      </c>
      <c r="J3" s="44"/>
      <c r="K3" s="44" t="s">
        <v>237</v>
      </c>
      <c r="L3" s="44" t="s">
        <v>232</v>
      </c>
      <c r="N3" s="44"/>
    </row>
    <row r="4" customFormat="false" ht="23.85" hidden="false" customHeight="false" outlineLevel="0" collapsed="false">
      <c r="A4" s="44" t="s">
        <v>238</v>
      </c>
      <c r="B4" s="44" t="s">
        <v>239</v>
      </c>
      <c r="C4" s="45" t="str">
        <f aca="false">IF(B4="","",IFERROR(VLOOKUP(B4,Features!$A$2:$C$200,3,FALSE()),""))</f>
        <v>Registration</v>
      </c>
      <c r="D4" s="44" t="s">
        <v>227</v>
      </c>
      <c r="E4" s="44" t="n">
        <v>1</v>
      </c>
      <c r="F4" s="44" t="s">
        <v>240</v>
      </c>
      <c r="G4" s="44" t="s">
        <v>241</v>
      </c>
      <c r="H4" s="44" t="s">
        <v>242</v>
      </c>
      <c r="I4" s="44" t="s">
        <v>243</v>
      </c>
      <c r="J4" s="44"/>
      <c r="K4" s="44" t="s">
        <v>231</v>
      </c>
      <c r="L4" s="44" t="s">
        <v>232</v>
      </c>
      <c r="N4" s="44"/>
    </row>
    <row r="5" customFormat="false" ht="23.85" hidden="false" customHeight="false" outlineLevel="0" collapsed="false">
      <c r="A5" s="44" t="s">
        <v>244</v>
      </c>
      <c r="B5" s="44" t="s">
        <v>245</v>
      </c>
      <c r="C5" s="45" t="str">
        <f aca="false">IF(B5="","",IFERROR(VLOOKUP(B5,Features!$A$2:$C$200,3,FALSE()),""))</f>
        <v>Registration</v>
      </c>
      <c r="D5" s="44" t="s">
        <v>227</v>
      </c>
      <c r="E5" s="44" t="n">
        <v>1</v>
      </c>
      <c r="F5" s="44" t="s">
        <v>246</v>
      </c>
      <c r="G5" s="44" t="s">
        <v>247</v>
      </c>
      <c r="H5" s="44"/>
      <c r="I5" s="44" t="s">
        <v>243</v>
      </c>
      <c r="J5" s="44"/>
      <c r="K5" s="44" t="s">
        <v>237</v>
      </c>
      <c r="L5" s="44" t="s">
        <v>232</v>
      </c>
      <c r="N5" s="44"/>
    </row>
    <row r="6" customFormat="false" ht="15" hidden="false" customHeight="false" outlineLevel="0" collapsed="false">
      <c r="A6" s="44" t="s">
        <v>248</v>
      </c>
      <c r="B6" s="44" t="s">
        <v>239</v>
      </c>
      <c r="C6" s="45" t="str">
        <f aca="false">IF(B6="","",IFERROR(VLOOKUP(B6,Features!$A$2:$C$200,3,FALSE()),""))</f>
        <v>Registration</v>
      </c>
      <c r="D6" s="44" t="s">
        <v>227</v>
      </c>
      <c r="E6" s="44" t="n">
        <v>1</v>
      </c>
      <c r="F6" s="44" t="s">
        <v>249</v>
      </c>
      <c r="G6" s="44" t="s">
        <v>250</v>
      </c>
      <c r="H6" s="44"/>
      <c r="I6" s="44" t="s">
        <v>243</v>
      </c>
      <c r="J6" s="44"/>
      <c r="K6" s="44" t="s">
        <v>237</v>
      </c>
      <c r="L6" s="44" t="s">
        <v>232</v>
      </c>
      <c r="N6" s="44"/>
    </row>
    <row r="7" customFormat="false" ht="15" hidden="false" customHeight="false" outlineLevel="0" collapsed="false">
      <c r="A7" s="44" t="s">
        <v>251</v>
      </c>
      <c r="B7" s="44" t="s">
        <v>252</v>
      </c>
      <c r="C7" s="45" t="str">
        <f aca="false">IF(B7="","",IFERROR(VLOOKUP(B7,Features!$A$2:$C$200,3,FALSE()),""))</f>
        <v>Registration</v>
      </c>
      <c r="D7" s="44" t="s">
        <v>227</v>
      </c>
      <c r="E7" s="44" t="n">
        <v>1</v>
      </c>
      <c r="F7" s="44" t="s">
        <v>253</v>
      </c>
      <c r="G7" s="44" t="s">
        <v>254</v>
      </c>
      <c r="H7" s="44"/>
      <c r="I7" s="44" t="s">
        <v>243</v>
      </c>
      <c r="J7" s="44"/>
      <c r="K7" s="44" t="s">
        <v>237</v>
      </c>
      <c r="L7" s="44" t="s">
        <v>232</v>
      </c>
      <c r="N7" s="44"/>
    </row>
    <row r="8" customFormat="false" ht="15" hidden="false" customHeight="false" outlineLevel="0" collapsed="false">
      <c r="A8" s="44" t="s">
        <v>255</v>
      </c>
      <c r="B8" s="44" t="s">
        <v>256</v>
      </c>
      <c r="C8" s="45" t="str">
        <f aca="false">IF(B8="","",IFERROR(VLOOKUP(B8,Features!$A$2:$C$200,3,FALSE()),""))</f>
        <v>Platform</v>
      </c>
      <c r="D8" s="44" t="s">
        <v>227</v>
      </c>
      <c r="E8" s="44" t="n">
        <v>1</v>
      </c>
      <c r="F8" s="44" t="s">
        <v>257</v>
      </c>
      <c r="G8" s="44" t="s">
        <v>258</v>
      </c>
      <c r="H8" s="44"/>
      <c r="I8" s="44" t="s">
        <v>243</v>
      </c>
      <c r="J8" s="44" t="s">
        <v>259</v>
      </c>
      <c r="K8" s="44" t="s">
        <v>231</v>
      </c>
      <c r="L8" s="44" t="s">
        <v>232</v>
      </c>
      <c r="N8" s="44"/>
    </row>
    <row r="9" customFormat="false" ht="23.85" hidden="false" customHeight="false" outlineLevel="0" collapsed="false">
      <c r="A9" s="44" t="s">
        <v>260</v>
      </c>
      <c r="B9" s="44" t="s">
        <v>256</v>
      </c>
      <c r="C9" s="45" t="str">
        <f aca="false">IF(B9="","",IFERROR(VLOOKUP(B9,Features!$A$2:$C$200,3,FALSE()),""))</f>
        <v>Platform</v>
      </c>
      <c r="D9" s="44" t="s">
        <v>227</v>
      </c>
      <c r="E9" s="44" t="n">
        <v>1</v>
      </c>
      <c r="F9" s="44" t="s">
        <v>261</v>
      </c>
      <c r="G9" s="44" t="s">
        <v>262</v>
      </c>
      <c r="H9" s="44"/>
      <c r="I9" s="44" t="s">
        <v>263</v>
      </c>
      <c r="J9" s="44" t="s">
        <v>264</v>
      </c>
      <c r="K9" s="44" t="s">
        <v>237</v>
      </c>
      <c r="L9" s="44" t="s">
        <v>232</v>
      </c>
      <c r="N9" s="44" t="s">
        <v>265</v>
      </c>
    </row>
    <row r="10" customFormat="false" ht="23.85" hidden="false" customHeight="false" outlineLevel="0" collapsed="false">
      <c r="A10" s="44" t="s">
        <v>266</v>
      </c>
      <c r="B10" s="44" t="s">
        <v>267</v>
      </c>
      <c r="C10" s="45" t="str">
        <f aca="false">IF(B10="","",IFERROR(VLOOKUP(B10,Features!$A$2:$C$200,3,FALSE()),""))</f>
        <v>Clinical</v>
      </c>
      <c r="D10" s="44" t="s">
        <v>227</v>
      </c>
      <c r="E10" s="44" t="n">
        <v>1</v>
      </c>
      <c r="F10" s="44" t="s">
        <v>268</v>
      </c>
      <c r="G10" s="44" t="s">
        <v>269</v>
      </c>
      <c r="H10" s="44"/>
      <c r="I10" s="44" t="s">
        <v>263</v>
      </c>
      <c r="J10" s="44"/>
      <c r="K10" s="44" t="s">
        <v>237</v>
      </c>
      <c r="L10" s="44" t="s">
        <v>232</v>
      </c>
      <c r="N10" s="44"/>
    </row>
    <row r="11" customFormat="false" ht="15" hidden="false" customHeight="false" outlineLevel="0" collapsed="false">
      <c r="A11" s="44" t="s">
        <v>270</v>
      </c>
      <c r="B11" s="44" t="s">
        <v>271</v>
      </c>
      <c r="C11" s="45" t="str">
        <f aca="false">IF(B11="","",IFERROR(VLOOKUP(B11,Features!$A$2:$C$200,3,FALSE()),""))</f>
        <v>Clinical</v>
      </c>
      <c r="D11" s="44" t="s">
        <v>227</v>
      </c>
      <c r="E11" s="44" t="n">
        <v>1</v>
      </c>
      <c r="F11" s="44" t="s">
        <v>272</v>
      </c>
      <c r="G11" s="44" t="s">
        <v>273</v>
      </c>
      <c r="H11" s="44"/>
      <c r="I11" s="44" t="s">
        <v>263</v>
      </c>
      <c r="J11" s="44"/>
      <c r="K11" s="44" t="s">
        <v>237</v>
      </c>
      <c r="L11" s="44" t="s">
        <v>232</v>
      </c>
      <c r="N11" s="44"/>
    </row>
    <row r="12" customFormat="false" ht="23.85" hidden="false" customHeight="false" outlineLevel="0" collapsed="false">
      <c r="A12" s="44" t="s">
        <v>274</v>
      </c>
      <c r="B12" s="44" t="s">
        <v>271</v>
      </c>
      <c r="C12" s="45" t="str">
        <f aca="false">IF(B12="","",IFERROR(VLOOKUP(B12,Features!$A$2:$C$200,3,FALSE()),""))</f>
        <v>Clinical</v>
      </c>
      <c r="D12" s="44" t="s">
        <v>227</v>
      </c>
      <c r="E12" s="44" t="n">
        <v>1</v>
      </c>
      <c r="F12" s="44" t="s">
        <v>275</v>
      </c>
      <c r="G12" s="44" t="s">
        <v>276</v>
      </c>
      <c r="H12" s="44"/>
      <c r="I12" s="44" t="s">
        <v>277</v>
      </c>
      <c r="J12" s="44"/>
      <c r="K12" s="44" t="s">
        <v>237</v>
      </c>
      <c r="L12" s="44" t="s">
        <v>232</v>
      </c>
      <c r="N12" s="44" t="s">
        <v>278</v>
      </c>
    </row>
    <row r="13" customFormat="false" ht="15" hidden="false" customHeight="false" outlineLevel="0" collapsed="false">
      <c r="A13" s="44" t="s">
        <v>279</v>
      </c>
      <c r="B13" s="44" t="s">
        <v>280</v>
      </c>
      <c r="C13" s="45" t="str">
        <f aca="false">IF(B13="","",IFERROR(VLOOKUP(B13,Features!$A$2:$C$200,3,FALSE()),""))</f>
        <v>Clinical</v>
      </c>
      <c r="D13" s="44" t="s">
        <v>227</v>
      </c>
      <c r="E13" s="44" t="n">
        <v>1</v>
      </c>
      <c r="F13" s="44" t="s">
        <v>281</v>
      </c>
      <c r="G13" s="44" t="s">
        <v>282</v>
      </c>
      <c r="H13" s="44"/>
      <c r="I13" s="44" t="s">
        <v>263</v>
      </c>
      <c r="J13" s="44"/>
      <c r="K13" s="44" t="s">
        <v>237</v>
      </c>
      <c r="L13" s="44" t="s">
        <v>232</v>
      </c>
      <c r="N13" s="44"/>
    </row>
    <row r="14" customFormat="false" ht="15" hidden="false" customHeight="false" outlineLevel="0" collapsed="false">
      <c r="A14" s="44" t="s">
        <v>283</v>
      </c>
      <c r="B14" s="44" t="s">
        <v>284</v>
      </c>
      <c r="C14" s="45" t="str">
        <f aca="false">IF(B14="","",IFERROR(VLOOKUP(B14,Features!$A$2:$C$200,3,FALSE()),""))</f>
        <v>Clinical</v>
      </c>
      <c r="D14" s="44" t="s">
        <v>227</v>
      </c>
      <c r="E14" s="44" t="n">
        <v>1</v>
      </c>
      <c r="F14" s="44" t="s">
        <v>285</v>
      </c>
      <c r="G14" s="44" t="s">
        <v>286</v>
      </c>
      <c r="H14" s="44"/>
      <c r="I14" s="44" t="s">
        <v>263</v>
      </c>
      <c r="J14" s="44"/>
      <c r="K14" s="44" t="s">
        <v>237</v>
      </c>
      <c r="L14" s="44" t="s">
        <v>232</v>
      </c>
      <c r="N14" s="44"/>
    </row>
    <row r="15" customFormat="false" ht="15" hidden="false" customHeight="false" outlineLevel="0" collapsed="false">
      <c r="A15" s="44" t="s">
        <v>287</v>
      </c>
      <c r="B15" s="44" t="s">
        <v>288</v>
      </c>
      <c r="C15" s="45" t="str">
        <f aca="false">IF(B15="","",IFERROR(VLOOKUP(B15,Features!$A$2:$C$200,3,FALSE()),""))</f>
        <v>Interoperability</v>
      </c>
      <c r="D15" s="44" t="s">
        <v>227</v>
      </c>
      <c r="E15" s="44" t="n">
        <v>1</v>
      </c>
      <c r="F15" s="44" t="s">
        <v>289</v>
      </c>
      <c r="G15" s="44" t="s">
        <v>290</v>
      </c>
      <c r="H15" s="44"/>
      <c r="I15" s="44" t="s">
        <v>277</v>
      </c>
      <c r="J15" s="44"/>
      <c r="K15" s="44" t="s">
        <v>231</v>
      </c>
      <c r="L15" s="44" t="s">
        <v>232</v>
      </c>
      <c r="N15" s="44"/>
    </row>
    <row r="16" customFormat="false" ht="15" hidden="false" customHeight="false" outlineLevel="0" collapsed="false">
      <c r="A16" s="44" t="s">
        <v>255</v>
      </c>
      <c r="B16" s="44" t="s">
        <v>256</v>
      </c>
      <c r="C16" s="45" t="str">
        <f aca="false">IF(B16="","",IFERROR(VLOOKUP(B16,Features!$A$2:$C$200,3,FALSE()),""))</f>
        <v>Platform</v>
      </c>
      <c r="D16" s="44" t="s">
        <v>291</v>
      </c>
      <c r="E16" s="44"/>
      <c r="F16" s="44" t="s">
        <v>292</v>
      </c>
      <c r="G16" s="44" t="s">
        <v>293</v>
      </c>
      <c r="H16" s="44" t="s">
        <v>242</v>
      </c>
      <c r="I16" s="44" t="s">
        <v>294</v>
      </c>
      <c r="J16" s="44" t="s">
        <v>295</v>
      </c>
      <c r="K16" s="44" t="s">
        <v>231</v>
      </c>
      <c r="L16" s="44" t="s">
        <v>232</v>
      </c>
      <c r="N16" s="44"/>
    </row>
    <row r="17" customFormat="false" ht="15" hidden="false" customHeight="false" outlineLevel="0" collapsed="false">
      <c r="A17" s="44" t="s">
        <v>260</v>
      </c>
      <c r="B17" s="44" t="s">
        <v>256</v>
      </c>
      <c r="C17" s="45" t="str">
        <f aca="false">IF(B17="","",IFERROR(VLOOKUP(B17,Features!$A$2:$C$200,3,FALSE()),""))</f>
        <v>Platform</v>
      </c>
      <c r="D17" s="44" t="s">
        <v>291</v>
      </c>
      <c r="E17" s="44"/>
      <c r="F17" s="44" t="s">
        <v>296</v>
      </c>
      <c r="G17" s="44" t="s">
        <v>297</v>
      </c>
      <c r="H17" s="44"/>
      <c r="I17" s="44" t="s">
        <v>298</v>
      </c>
      <c r="J17" s="44" t="s">
        <v>299</v>
      </c>
      <c r="K17" s="44" t="s">
        <v>231</v>
      </c>
      <c r="L17" s="44" t="s">
        <v>232</v>
      </c>
      <c r="N17" s="44"/>
    </row>
    <row r="18" customFormat="false" ht="15" hidden="false" customHeight="false" outlineLevel="0" collapsed="false">
      <c r="C18" s="45" t="str">
        <f aca="false">IF(B18="","",IFERROR(VLOOKUP(B18,Features!$A$2:$C$200,3,FALSE()),""))</f>
        <v/>
      </c>
    </row>
    <row r="19" customFormat="false" ht="15" hidden="false" customHeight="false" outlineLevel="0" collapsed="false">
      <c r="C19" s="45" t="str">
        <f aca="false">IF(B19="","",IFERROR(VLOOKUP(B19,Features!$A$2:$C$200,3,FALSE()),""))</f>
        <v/>
      </c>
    </row>
    <row r="20" customFormat="false" ht="15" hidden="false" customHeight="false" outlineLevel="0" collapsed="false">
      <c r="C20" s="45" t="str">
        <f aca="false">IF(B20="","",IFERROR(VLOOKUP(B20,Features!$A$2:$C$200,3,FALSE()),""))</f>
        <v/>
      </c>
    </row>
    <row r="21" customFormat="false" ht="15" hidden="false" customHeight="false" outlineLevel="0" collapsed="false">
      <c r="C21" s="45" t="str">
        <f aca="false">IF(B21="","",IFERROR(VLOOKUP(B21,Features!$A$2:$C$200,3,FALSE()),""))</f>
        <v/>
      </c>
    </row>
    <row r="22" customFormat="false" ht="15" hidden="false" customHeight="false" outlineLevel="0" collapsed="false">
      <c r="C22" s="45" t="str">
        <f aca="false">IF(B22="","",IFERROR(VLOOKUP(B22,Features!$A$2:$C$200,3,FALSE()),""))</f>
        <v/>
      </c>
    </row>
    <row r="23" customFormat="false" ht="15" hidden="false" customHeight="false" outlineLevel="0" collapsed="false">
      <c r="C23" s="45" t="str">
        <f aca="false">IF(B23="","",IFERROR(VLOOKUP(B23,Features!$A$2:$C$200,3,FALSE()),""))</f>
        <v/>
      </c>
    </row>
    <row r="24" customFormat="false" ht="15" hidden="false" customHeight="false" outlineLevel="0" collapsed="false">
      <c r="C24" s="45" t="str">
        <f aca="false">IF(B24="","",IFERROR(VLOOKUP(B24,Features!$A$2:$C$200,3,FALSE()),""))</f>
        <v/>
      </c>
    </row>
    <row r="25" customFormat="false" ht="15" hidden="false" customHeight="false" outlineLevel="0" collapsed="false">
      <c r="C25" s="45" t="str">
        <f aca="false">IF(B25="","",IFERROR(VLOOKUP(B25,Features!$A$2:$C$200,3,FALSE()),""))</f>
        <v/>
      </c>
    </row>
    <row r="26" customFormat="false" ht="15" hidden="false" customHeight="false" outlineLevel="0" collapsed="false">
      <c r="C26" s="45" t="str">
        <f aca="false">IF(B26="","",IFERROR(VLOOKUP(B26,Features!$A$2:$C$200,3,FALSE()),""))</f>
        <v/>
      </c>
    </row>
    <row r="27" customFormat="false" ht="15" hidden="false" customHeight="false" outlineLevel="0" collapsed="false">
      <c r="C27" s="45" t="str">
        <f aca="false">IF(B27="","",IFERROR(VLOOKUP(B27,Features!$A$2:$C$200,3,FALSE()),""))</f>
        <v/>
      </c>
    </row>
    <row r="28" customFormat="false" ht="15" hidden="false" customHeight="false" outlineLevel="0" collapsed="false">
      <c r="C28" s="45" t="str">
        <f aca="false">IF(B28="","",IFERROR(VLOOKUP(B28,Features!$A$2:$C$200,3,FALSE()),""))</f>
        <v/>
      </c>
    </row>
    <row r="29" customFormat="false" ht="15" hidden="false" customHeight="false" outlineLevel="0" collapsed="false">
      <c r="C29" s="45" t="str">
        <f aca="false">IF(B29="","",IFERROR(VLOOKUP(B29,Features!$A$2:$C$200,3,FALSE()),""))</f>
        <v/>
      </c>
    </row>
    <row r="30" customFormat="false" ht="15" hidden="false" customHeight="false" outlineLevel="0" collapsed="false">
      <c r="C30" s="45" t="str">
        <f aca="false">IF(B30="","",IFERROR(VLOOKUP(B30,Features!$A$2:$C$200,3,FALSE()),""))</f>
        <v/>
      </c>
    </row>
    <row r="31" customFormat="false" ht="15" hidden="false" customHeight="false" outlineLevel="0" collapsed="false">
      <c r="C31" s="45" t="str">
        <f aca="false">IF(B31="","",IFERROR(VLOOKUP(B31,Features!$A$2:$C$200,3,FALSE()),""))</f>
        <v/>
      </c>
    </row>
    <row r="32" customFormat="false" ht="15" hidden="false" customHeight="false" outlineLevel="0" collapsed="false">
      <c r="C32" s="45" t="str">
        <f aca="false">IF(B32="","",IFERROR(VLOOKUP(B32,Features!$A$2:$C$200,3,FALSE()),""))</f>
        <v/>
      </c>
    </row>
    <row r="33" customFormat="false" ht="15" hidden="false" customHeight="false" outlineLevel="0" collapsed="false">
      <c r="C33" s="45" t="str">
        <f aca="false">IF(B33="","",IFERROR(VLOOKUP(B33,Features!$A$2:$C$200,3,FALSE()),""))</f>
        <v/>
      </c>
    </row>
    <row r="34" customFormat="false" ht="15" hidden="false" customHeight="false" outlineLevel="0" collapsed="false">
      <c r="C34" s="45" t="str">
        <f aca="false">IF(B34="","",IFERROR(VLOOKUP(B34,Features!$A$2:$C$200,3,FALSE()),""))</f>
        <v/>
      </c>
    </row>
    <row r="35" customFormat="false" ht="15" hidden="false" customHeight="false" outlineLevel="0" collapsed="false">
      <c r="C35" s="45" t="str">
        <f aca="false">IF(B35="","",IFERROR(VLOOKUP(B35,Features!$A$2:$C$200,3,FALSE()),""))</f>
        <v/>
      </c>
    </row>
    <row r="36" customFormat="false" ht="15" hidden="false" customHeight="false" outlineLevel="0" collapsed="false">
      <c r="C36" s="45" t="str">
        <f aca="false">IF(B36="","",IFERROR(VLOOKUP(B36,Features!$A$2:$C$200,3,FALSE()),""))</f>
        <v/>
      </c>
    </row>
    <row r="37" customFormat="false" ht="15" hidden="false" customHeight="false" outlineLevel="0" collapsed="false">
      <c r="C37" s="45" t="str">
        <f aca="false">IF(B37="","",IFERROR(VLOOKUP(B37,Features!$A$2:$C$200,3,FALSE()),""))</f>
        <v/>
      </c>
    </row>
    <row r="38" customFormat="false" ht="15" hidden="false" customHeight="false" outlineLevel="0" collapsed="false">
      <c r="C38" s="45" t="str">
        <f aca="false">IF(B38="","",IFERROR(VLOOKUP(B38,Features!$A$2:$C$200,3,FALSE()),""))</f>
        <v/>
      </c>
    </row>
    <row r="39" customFormat="false" ht="15" hidden="false" customHeight="false" outlineLevel="0" collapsed="false">
      <c r="C39" s="45" t="str">
        <f aca="false">IF(B39="","",IFERROR(VLOOKUP(B39,Features!$A$2:$C$200,3,FALSE()),""))</f>
        <v/>
      </c>
    </row>
    <row r="40" customFormat="false" ht="15" hidden="false" customHeight="false" outlineLevel="0" collapsed="false">
      <c r="C40" s="45" t="str">
        <f aca="false">IF(B40="","",IFERROR(VLOOKUP(B40,Features!$A$2:$C$200,3,FALSE()),""))</f>
        <v/>
      </c>
    </row>
    <row r="41" customFormat="false" ht="15" hidden="false" customHeight="false" outlineLevel="0" collapsed="false">
      <c r="C41" s="45" t="str">
        <f aca="false">IF(B41="","",IFERROR(VLOOKUP(B41,Features!$A$2:$C$200,3,FALSE()),""))</f>
        <v/>
      </c>
    </row>
    <row r="42" customFormat="false" ht="15" hidden="false" customHeight="false" outlineLevel="0" collapsed="false">
      <c r="C42" s="45" t="str">
        <f aca="false">IF(B42="","",IFERROR(VLOOKUP(B42,Features!$A$2:$C$200,3,FALSE()),""))</f>
        <v/>
      </c>
    </row>
    <row r="43" customFormat="false" ht="15" hidden="false" customHeight="false" outlineLevel="0" collapsed="false">
      <c r="C43" s="45" t="str">
        <f aca="false">IF(B43="","",IFERROR(VLOOKUP(B43,Features!$A$2:$C$200,3,FALSE()),""))</f>
        <v/>
      </c>
    </row>
    <row r="44" customFormat="false" ht="15" hidden="false" customHeight="false" outlineLevel="0" collapsed="false">
      <c r="C44" s="45" t="str">
        <f aca="false">IF(B44="","",IFERROR(VLOOKUP(B44,Features!$A$2:$C$200,3,FALSE()),""))</f>
        <v/>
      </c>
    </row>
    <row r="45" customFormat="false" ht="15" hidden="false" customHeight="false" outlineLevel="0" collapsed="false">
      <c r="C45" s="45" t="str">
        <f aca="false">IF(B45="","",IFERROR(VLOOKUP(B45,Features!$A$2:$C$200,3,FALSE()),""))</f>
        <v/>
      </c>
    </row>
    <row r="46" customFormat="false" ht="15" hidden="false" customHeight="false" outlineLevel="0" collapsed="false">
      <c r="C46" s="45" t="str">
        <f aca="false">IF(B46="","",IFERROR(VLOOKUP(B46,Features!$A$2:$C$200,3,FALSE()),""))</f>
        <v/>
      </c>
    </row>
    <row r="47" customFormat="false" ht="15" hidden="false" customHeight="false" outlineLevel="0" collapsed="false">
      <c r="C47" s="45" t="str">
        <f aca="false">IF(B47="","",IFERROR(VLOOKUP(B47,Features!$A$2:$C$200,3,FALSE()),""))</f>
        <v/>
      </c>
    </row>
    <row r="48" customFormat="false" ht="15" hidden="false" customHeight="false" outlineLevel="0" collapsed="false">
      <c r="C48" s="45" t="str">
        <f aca="false">IF(B48="","",IFERROR(VLOOKUP(B48,Features!$A$2:$C$200,3,FALSE()),""))</f>
        <v/>
      </c>
    </row>
    <row r="49" customFormat="false" ht="15" hidden="false" customHeight="false" outlineLevel="0" collapsed="false">
      <c r="C49" s="45" t="str">
        <f aca="false">IF(B49="","",IFERROR(VLOOKUP(B49,Features!$A$2:$C$200,3,FALSE()),""))</f>
        <v/>
      </c>
    </row>
    <row r="50" customFormat="false" ht="15" hidden="false" customHeight="false" outlineLevel="0" collapsed="false">
      <c r="C50" s="45" t="str">
        <f aca="false">IF(B50="","",IFERROR(VLOOKUP(B50,Features!$A$2:$C$200,3,FALSE()),""))</f>
        <v/>
      </c>
    </row>
    <row r="51" customFormat="false" ht="15" hidden="false" customHeight="false" outlineLevel="0" collapsed="false">
      <c r="C51" s="45" t="str">
        <f aca="false">IF(B51="","",IFERROR(VLOOKUP(B51,Features!$A$2:$C$200,3,FALSE()),""))</f>
        <v/>
      </c>
    </row>
    <row r="52" customFormat="false" ht="15" hidden="false" customHeight="false" outlineLevel="0" collapsed="false">
      <c r="C52" s="45" t="str">
        <f aca="false">IF(B52="","",IFERROR(VLOOKUP(B52,Features!$A$2:$C$200,3,FALSE()),""))</f>
        <v/>
      </c>
    </row>
    <row r="53" customFormat="false" ht="15" hidden="false" customHeight="false" outlineLevel="0" collapsed="false">
      <c r="C53" s="45" t="str">
        <f aca="false">IF(B53="","",IFERROR(VLOOKUP(B53,Features!$A$2:$C$200,3,FALSE()),""))</f>
        <v/>
      </c>
    </row>
    <row r="54" customFormat="false" ht="15" hidden="false" customHeight="false" outlineLevel="0" collapsed="false">
      <c r="C54" s="45" t="str">
        <f aca="false">IF(B54="","",IFERROR(VLOOKUP(B54,Features!$A$2:$C$200,3,FALSE()),""))</f>
        <v/>
      </c>
    </row>
    <row r="55" customFormat="false" ht="15" hidden="false" customHeight="false" outlineLevel="0" collapsed="false">
      <c r="C55" s="45" t="str">
        <f aca="false">IF(B55="","",IFERROR(VLOOKUP(B55,Features!$A$2:$C$200,3,FALSE()),""))</f>
        <v/>
      </c>
    </row>
    <row r="56" customFormat="false" ht="15" hidden="false" customHeight="false" outlineLevel="0" collapsed="false">
      <c r="C56" s="45" t="str">
        <f aca="false">IF(B56="","",IFERROR(VLOOKUP(B56,Features!$A$2:$C$200,3,FALSE()),""))</f>
        <v/>
      </c>
    </row>
    <row r="57" customFormat="false" ht="15" hidden="false" customHeight="false" outlineLevel="0" collapsed="false">
      <c r="C57" s="45" t="str">
        <f aca="false">IF(B57="","",IFERROR(VLOOKUP(B57,Features!$A$2:$C$200,3,FALSE()),""))</f>
        <v/>
      </c>
    </row>
    <row r="58" customFormat="false" ht="15" hidden="false" customHeight="false" outlineLevel="0" collapsed="false">
      <c r="C58" s="45" t="str">
        <f aca="false">IF(B58="","",IFERROR(VLOOKUP(B58,Features!$A$2:$C$200,3,FALSE()),""))</f>
        <v/>
      </c>
    </row>
    <row r="59" customFormat="false" ht="15" hidden="false" customHeight="false" outlineLevel="0" collapsed="false">
      <c r="C59" s="45" t="str">
        <f aca="false">IF(B59="","",IFERROR(VLOOKUP(B59,Features!$A$2:$C$200,3,FALSE()),""))</f>
        <v/>
      </c>
    </row>
    <row r="60" customFormat="false" ht="15" hidden="false" customHeight="false" outlineLevel="0" collapsed="false">
      <c r="C60" s="45" t="str">
        <f aca="false">IF(B60="","",IFERROR(VLOOKUP(B60,Features!$A$2:$C$200,3,FALSE()),""))</f>
        <v/>
      </c>
    </row>
    <row r="61" customFormat="false" ht="15" hidden="false" customHeight="false" outlineLevel="0" collapsed="false">
      <c r="C61" s="45" t="str">
        <f aca="false">IF(B61="","",IFERROR(VLOOKUP(B61,Features!$A$2:$C$200,3,FALSE()),""))</f>
        <v/>
      </c>
    </row>
    <row r="62" customFormat="false" ht="15" hidden="false" customHeight="false" outlineLevel="0" collapsed="false">
      <c r="C62" s="45" t="str">
        <f aca="false">IF(B62="","",IFERROR(VLOOKUP(B62,Features!$A$2:$C$200,3,FALSE()),""))</f>
        <v/>
      </c>
    </row>
    <row r="63" customFormat="false" ht="15" hidden="false" customHeight="false" outlineLevel="0" collapsed="false">
      <c r="C63" s="45" t="str">
        <f aca="false">IF(B63="","",IFERROR(VLOOKUP(B63,Features!$A$2:$C$200,3,FALSE()),""))</f>
        <v/>
      </c>
    </row>
    <row r="64" customFormat="false" ht="15" hidden="false" customHeight="false" outlineLevel="0" collapsed="false">
      <c r="C64" s="45" t="str">
        <f aca="false">IF(B64="","",IFERROR(VLOOKUP(B64,Features!$A$2:$C$200,3,FALSE()),""))</f>
        <v/>
      </c>
    </row>
    <row r="65" customFormat="false" ht="15" hidden="false" customHeight="false" outlineLevel="0" collapsed="false">
      <c r="C65" s="45" t="str">
        <f aca="false">IF(B65="","",IFERROR(VLOOKUP(B65,Features!$A$2:$C$200,3,FALSE()),""))</f>
        <v/>
      </c>
    </row>
    <row r="66" customFormat="false" ht="15" hidden="false" customHeight="false" outlineLevel="0" collapsed="false">
      <c r="C66" s="45" t="str">
        <f aca="false">IF(B66="","",IFERROR(VLOOKUP(B66,Features!$A$2:$C$200,3,FALSE()),""))</f>
        <v/>
      </c>
    </row>
    <row r="67" customFormat="false" ht="15" hidden="false" customHeight="false" outlineLevel="0" collapsed="false">
      <c r="C67" s="45" t="str">
        <f aca="false">IF(B67="","",IFERROR(VLOOKUP(B67,Features!$A$2:$C$200,3,FALSE()),""))</f>
        <v/>
      </c>
    </row>
    <row r="68" customFormat="false" ht="15" hidden="false" customHeight="false" outlineLevel="0" collapsed="false">
      <c r="C68" s="45" t="str">
        <f aca="false">IF(B68="","",IFERROR(VLOOKUP(B68,Features!$A$2:$C$200,3,FALSE()),""))</f>
        <v/>
      </c>
    </row>
    <row r="69" customFormat="false" ht="15" hidden="false" customHeight="false" outlineLevel="0" collapsed="false">
      <c r="C69" s="45" t="str">
        <f aca="false">IF(B69="","",IFERROR(VLOOKUP(B69,Features!$A$2:$C$200,3,FALSE()),""))</f>
        <v/>
      </c>
    </row>
    <row r="70" customFormat="false" ht="15" hidden="false" customHeight="false" outlineLevel="0" collapsed="false">
      <c r="C70" s="45" t="str">
        <f aca="false">IF(B70="","",IFERROR(VLOOKUP(B70,Features!$A$2:$C$200,3,FALSE()),""))</f>
        <v/>
      </c>
    </row>
    <row r="71" customFormat="false" ht="15" hidden="false" customHeight="false" outlineLevel="0" collapsed="false">
      <c r="C71" s="45" t="str">
        <f aca="false">IF(B71="","",IFERROR(VLOOKUP(B71,Features!$A$2:$C$200,3,FALSE()),""))</f>
        <v/>
      </c>
    </row>
    <row r="72" customFormat="false" ht="15" hidden="false" customHeight="false" outlineLevel="0" collapsed="false">
      <c r="C72" s="45" t="str">
        <f aca="false">IF(B72="","",IFERROR(VLOOKUP(B72,Features!$A$2:$C$200,3,FALSE()),""))</f>
        <v/>
      </c>
    </row>
    <row r="73" customFormat="false" ht="15" hidden="false" customHeight="false" outlineLevel="0" collapsed="false">
      <c r="C73" s="45" t="str">
        <f aca="false">IF(B73="","",IFERROR(VLOOKUP(B73,Features!$A$2:$C$200,3,FALSE()),""))</f>
        <v/>
      </c>
    </row>
    <row r="74" customFormat="false" ht="15" hidden="false" customHeight="false" outlineLevel="0" collapsed="false">
      <c r="C74" s="45" t="str">
        <f aca="false">IF(B74="","",IFERROR(VLOOKUP(B74,Features!$A$2:$C$200,3,FALSE()),""))</f>
        <v/>
      </c>
    </row>
    <row r="75" customFormat="false" ht="15" hidden="false" customHeight="false" outlineLevel="0" collapsed="false">
      <c r="C75" s="45" t="str">
        <f aca="false">IF(B75="","",IFERROR(VLOOKUP(B75,Features!$A$2:$C$200,3,FALSE()),""))</f>
        <v/>
      </c>
    </row>
    <row r="76" customFormat="false" ht="15" hidden="false" customHeight="false" outlineLevel="0" collapsed="false">
      <c r="C76" s="45" t="str">
        <f aca="false">IF(B76="","",IFERROR(VLOOKUP(B76,Features!$A$2:$C$200,3,FALSE()),""))</f>
        <v/>
      </c>
    </row>
    <row r="77" customFormat="false" ht="15" hidden="false" customHeight="false" outlineLevel="0" collapsed="false">
      <c r="C77" s="45" t="str">
        <f aca="false">IF(B77="","",IFERROR(VLOOKUP(B77,Features!$A$2:$C$200,3,FALSE()),""))</f>
        <v/>
      </c>
    </row>
    <row r="78" customFormat="false" ht="15" hidden="false" customHeight="false" outlineLevel="0" collapsed="false">
      <c r="C78" s="45" t="str">
        <f aca="false">IF(B78="","",IFERROR(VLOOKUP(B78,Features!$A$2:$C$200,3,FALSE()),""))</f>
        <v/>
      </c>
    </row>
    <row r="79" customFormat="false" ht="15" hidden="false" customHeight="false" outlineLevel="0" collapsed="false">
      <c r="C79" s="45" t="str">
        <f aca="false">IF(B79="","",IFERROR(VLOOKUP(B79,Features!$A$2:$C$200,3,FALSE()),""))</f>
        <v/>
      </c>
    </row>
    <row r="80" customFormat="false" ht="15" hidden="false" customHeight="false" outlineLevel="0" collapsed="false">
      <c r="C80" s="45" t="str">
        <f aca="false">IF(B80="","",IFERROR(VLOOKUP(B80,Features!$A$2:$C$200,3,FALSE()),""))</f>
        <v/>
      </c>
    </row>
    <row r="81" customFormat="false" ht="15" hidden="false" customHeight="false" outlineLevel="0" collapsed="false">
      <c r="C81" s="45" t="str">
        <f aca="false">IF(B81="","",IFERROR(VLOOKUP(B81,Features!$A$2:$C$200,3,FALSE()),""))</f>
        <v/>
      </c>
    </row>
    <row r="82" customFormat="false" ht="15" hidden="false" customHeight="false" outlineLevel="0" collapsed="false">
      <c r="C82" s="45" t="str">
        <f aca="false">IF(B82="","",IFERROR(VLOOKUP(B82,Features!$A$2:$C$200,3,FALSE()),""))</f>
        <v/>
      </c>
    </row>
    <row r="83" customFormat="false" ht="15" hidden="false" customHeight="false" outlineLevel="0" collapsed="false">
      <c r="C83" s="45" t="str">
        <f aca="false">IF(B83="","",IFERROR(VLOOKUP(B83,Features!$A$2:$C$200,3,FALSE()),""))</f>
        <v/>
      </c>
    </row>
    <row r="84" customFormat="false" ht="15" hidden="false" customHeight="false" outlineLevel="0" collapsed="false">
      <c r="C84" s="45" t="str">
        <f aca="false">IF(B84="","",IFERROR(VLOOKUP(B84,Features!$A$2:$C$200,3,FALSE()),""))</f>
        <v/>
      </c>
    </row>
    <row r="85" customFormat="false" ht="15" hidden="false" customHeight="false" outlineLevel="0" collapsed="false">
      <c r="C85" s="45" t="str">
        <f aca="false">IF(B85="","",IFERROR(VLOOKUP(B85,Features!$A$2:$C$200,3,FALSE()),""))</f>
        <v/>
      </c>
    </row>
    <row r="86" customFormat="false" ht="15" hidden="false" customHeight="false" outlineLevel="0" collapsed="false">
      <c r="C86" s="45" t="str">
        <f aca="false">IF(B86="","",IFERROR(VLOOKUP(B86,Features!$A$2:$C$200,3,FALSE()),""))</f>
        <v/>
      </c>
    </row>
    <row r="87" customFormat="false" ht="15" hidden="false" customHeight="false" outlineLevel="0" collapsed="false">
      <c r="C87" s="45" t="str">
        <f aca="false">IF(B87="","",IFERROR(VLOOKUP(B87,Features!$A$2:$C$200,3,FALSE()),""))</f>
        <v/>
      </c>
    </row>
    <row r="88" customFormat="false" ht="15" hidden="false" customHeight="false" outlineLevel="0" collapsed="false">
      <c r="C88" s="45" t="str">
        <f aca="false">IF(B88="","",IFERROR(VLOOKUP(B88,Features!$A$2:$C$200,3,FALSE()),""))</f>
        <v/>
      </c>
    </row>
    <row r="89" customFormat="false" ht="15" hidden="false" customHeight="false" outlineLevel="0" collapsed="false">
      <c r="C89" s="45" t="str">
        <f aca="false">IF(B89="","",IFERROR(VLOOKUP(B89,Features!$A$2:$C$200,3,FALSE()),""))</f>
        <v/>
      </c>
    </row>
    <row r="90" customFormat="false" ht="15" hidden="false" customHeight="false" outlineLevel="0" collapsed="false">
      <c r="C90" s="45" t="str">
        <f aca="false">IF(B90="","",IFERROR(VLOOKUP(B90,Features!$A$2:$C$200,3,FALSE()),""))</f>
        <v/>
      </c>
    </row>
    <row r="91" customFormat="false" ht="15" hidden="false" customHeight="false" outlineLevel="0" collapsed="false">
      <c r="C91" s="45" t="str">
        <f aca="false">IF(B91="","",IFERROR(VLOOKUP(B91,Features!$A$2:$C$200,3,FALSE()),""))</f>
        <v/>
      </c>
    </row>
    <row r="92" customFormat="false" ht="15" hidden="false" customHeight="false" outlineLevel="0" collapsed="false">
      <c r="C92" s="45" t="str">
        <f aca="false">IF(B92="","",IFERROR(VLOOKUP(B92,Features!$A$2:$C$200,3,FALSE()),""))</f>
        <v/>
      </c>
    </row>
    <row r="93" customFormat="false" ht="15" hidden="false" customHeight="false" outlineLevel="0" collapsed="false">
      <c r="C93" s="45" t="str">
        <f aca="false">IF(B93="","",IFERROR(VLOOKUP(B93,Features!$A$2:$C$200,3,FALSE()),""))</f>
        <v/>
      </c>
    </row>
    <row r="94" customFormat="false" ht="15" hidden="false" customHeight="false" outlineLevel="0" collapsed="false">
      <c r="C94" s="45" t="str">
        <f aca="false">IF(B94="","",IFERROR(VLOOKUP(B94,Features!$A$2:$C$200,3,FALSE()),""))</f>
        <v/>
      </c>
    </row>
    <row r="95" customFormat="false" ht="15" hidden="false" customHeight="false" outlineLevel="0" collapsed="false">
      <c r="C95" s="45" t="str">
        <f aca="false">IF(B95="","",IFERROR(VLOOKUP(B95,Features!$A$2:$C$200,3,FALSE()),""))</f>
        <v/>
      </c>
    </row>
    <row r="96" customFormat="false" ht="15" hidden="false" customHeight="false" outlineLevel="0" collapsed="false">
      <c r="C96" s="45" t="str">
        <f aca="false">IF(B96="","",IFERROR(VLOOKUP(B96,Features!$A$2:$C$200,3,FALSE()),""))</f>
        <v/>
      </c>
    </row>
    <row r="97" customFormat="false" ht="15" hidden="false" customHeight="false" outlineLevel="0" collapsed="false">
      <c r="C97" s="45" t="str">
        <f aca="false">IF(B97="","",IFERROR(VLOOKUP(B97,Features!$A$2:$C$200,3,FALSE()),""))</f>
        <v/>
      </c>
    </row>
    <row r="98" customFormat="false" ht="15" hidden="false" customHeight="false" outlineLevel="0" collapsed="false">
      <c r="C98" s="45" t="str">
        <f aca="false">IF(B98="","",IFERROR(VLOOKUP(B98,Features!$A$2:$C$200,3,FALSE()),""))</f>
        <v/>
      </c>
    </row>
    <row r="99" customFormat="false" ht="15" hidden="false" customHeight="false" outlineLevel="0" collapsed="false">
      <c r="C99" s="45" t="str">
        <f aca="false">IF(B99="","",IFERROR(VLOOKUP(B99,Features!$A$2:$C$200,3,FALSE()),""))</f>
        <v/>
      </c>
    </row>
    <row r="100" customFormat="false" ht="15" hidden="false" customHeight="false" outlineLevel="0" collapsed="false">
      <c r="C100" s="45" t="str">
        <f aca="false">IF(B100="","",IFERROR(VLOOKUP(B100,Features!$A$2:$C$200,3,FALSE()),""))</f>
        <v/>
      </c>
    </row>
    <row r="101" customFormat="false" ht="15" hidden="false" customHeight="false" outlineLevel="0" collapsed="false">
      <c r="C101" s="45" t="str">
        <f aca="false">IF(B101="","",IFERROR(VLOOKUP(B101,Features!$A$2:$C$200,3,FALSE()),""))</f>
        <v/>
      </c>
    </row>
    <row r="102" customFormat="false" ht="15" hidden="false" customHeight="false" outlineLevel="0" collapsed="false">
      <c r="C102" s="45" t="str">
        <f aca="false">IF(B102="","",IFERROR(VLOOKUP(B102,Features!$A$2:$C$200,3,FALSE()),""))</f>
        <v/>
      </c>
    </row>
    <row r="103" customFormat="false" ht="15" hidden="false" customHeight="false" outlineLevel="0" collapsed="false">
      <c r="C103" s="45" t="str">
        <f aca="false">IF(B103="","",IFERROR(VLOOKUP(B103,Features!$A$2:$C$200,3,FALSE()),""))</f>
        <v/>
      </c>
    </row>
    <row r="104" customFormat="false" ht="15" hidden="false" customHeight="false" outlineLevel="0" collapsed="false">
      <c r="C104" s="45" t="str">
        <f aca="false">IF(B104="","",IFERROR(VLOOKUP(B104,Features!$A$2:$C$200,3,FALSE()),""))</f>
        <v/>
      </c>
    </row>
    <row r="105" customFormat="false" ht="15" hidden="false" customHeight="false" outlineLevel="0" collapsed="false">
      <c r="C105" s="45" t="str">
        <f aca="false">IF(B105="","",IFERROR(VLOOKUP(B105,Features!$A$2:$C$200,3,FALSE()),""))</f>
        <v/>
      </c>
    </row>
    <row r="106" customFormat="false" ht="15" hidden="false" customHeight="false" outlineLevel="0" collapsed="false">
      <c r="C106" s="45" t="str">
        <f aca="false">IF(B106="","",IFERROR(VLOOKUP(B106,Features!$A$2:$C$200,3,FALSE()),""))</f>
        <v/>
      </c>
    </row>
    <row r="107" customFormat="false" ht="15" hidden="false" customHeight="false" outlineLevel="0" collapsed="false">
      <c r="C107" s="45" t="str">
        <f aca="false">IF(B107="","",IFERROR(VLOOKUP(B107,Features!$A$2:$C$200,3,FALSE()),""))</f>
        <v/>
      </c>
    </row>
    <row r="108" customFormat="false" ht="15" hidden="false" customHeight="false" outlineLevel="0" collapsed="false">
      <c r="C108" s="45" t="str">
        <f aca="false">IF(B108="","",IFERROR(VLOOKUP(B108,Features!$A$2:$C$200,3,FALSE()),""))</f>
        <v/>
      </c>
    </row>
    <row r="109" customFormat="false" ht="15" hidden="false" customHeight="false" outlineLevel="0" collapsed="false">
      <c r="C109" s="45" t="str">
        <f aca="false">IF(B109="","",IFERROR(VLOOKUP(B109,Features!$A$2:$C$200,3,FALSE()),""))</f>
        <v/>
      </c>
    </row>
    <row r="110" customFormat="false" ht="15" hidden="false" customHeight="false" outlineLevel="0" collapsed="false">
      <c r="C110" s="45" t="str">
        <f aca="false">IF(B110="","",IFERROR(VLOOKUP(B110,Features!$A$2:$C$200,3,FALSE()),""))</f>
        <v/>
      </c>
    </row>
    <row r="111" customFormat="false" ht="15" hidden="false" customHeight="false" outlineLevel="0" collapsed="false">
      <c r="C111" s="45" t="str">
        <f aca="false">IF(B111="","",IFERROR(VLOOKUP(B111,Features!$A$2:$C$200,3,FALSE()),""))</f>
        <v/>
      </c>
    </row>
    <row r="112" customFormat="false" ht="15" hidden="false" customHeight="false" outlineLevel="0" collapsed="false">
      <c r="C112" s="45" t="str">
        <f aca="false">IF(B112="","",IFERROR(VLOOKUP(B112,Features!$A$2:$C$200,3,FALSE()),""))</f>
        <v/>
      </c>
    </row>
    <row r="113" customFormat="false" ht="15" hidden="false" customHeight="false" outlineLevel="0" collapsed="false">
      <c r="C113" s="45" t="str">
        <f aca="false">IF(B113="","",IFERROR(VLOOKUP(B113,Features!$A$2:$C$200,3,FALSE()),""))</f>
        <v/>
      </c>
    </row>
    <row r="114" customFormat="false" ht="15" hidden="false" customHeight="false" outlineLevel="0" collapsed="false">
      <c r="C114" s="45" t="str">
        <f aca="false">IF(B114="","",IFERROR(VLOOKUP(B114,Features!$A$2:$C$200,3,FALSE()),""))</f>
        <v/>
      </c>
    </row>
    <row r="115" customFormat="false" ht="15" hidden="false" customHeight="false" outlineLevel="0" collapsed="false">
      <c r="C115" s="45" t="str">
        <f aca="false">IF(B115="","",IFERROR(VLOOKUP(B115,Features!$A$2:$C$200,3,FALSE()),""))</f>
        <v/>
      </c>
    </row>
    <row r="116" customFormat="false" ht="15" hidden="false" customHeight="false" outlineLevel="0" collapsed="false">
      <c r="C116" s="45" t="str">
        <f aca="false">IF(B116="","",IFERROR(VLOOKUP(B116,Features!$A$2:$C$200,3,FALSE()),""))</f>
        <v/>
      </c>
    </row>
    <row r="117" customFormat="false" ht="15" hidden="false" customHeight="false" outlineLevel="0" collapsed="false">
      <c r="C117" s="45" t="str">
        <f aca="false">IF(B117="","",IFERROR(VLOOKUP(B117,Features!$A$2:$C$200,3,FALSE()),""))</f>
        <v/>
      </c>
    </row>
    <row r="118" customFormat="false" ht="15" hidden="false" customHeight="false" outlineLevel="0" collapsed="false">
      <c r="C118" s="45" t="str">
        <f aca="false">IF(B118="","",IFERROR(VLOOKUP(B118,Features!$A$2:$C$200,3,FALSE()),""))</f>
        <v/>
      </c>
    </row>
    <row r="119" customFormat="false" ht="15" hidden="false" customHeight="false" outlineLevel="0" collapsed="false">
      <c r="C119" s="45" t="str">
        <f aca="false">IF(B119="","",IFERROR(VLOOKUP(B119,Features!$A$2:$C$200,3,FALSE()),""))</f>
        <v/>
      </c>
    </row>
    <row r="120" customFormat="false" ht="15" hidden="false" customHeight="false" outlineLevel="0" collapsed="false">
      <c r="C120" s="45" t="str">
        <f aca="false">IF(B120="","",IFERROR(VLOOKUP(B120,Features!$A$2:$C$200,3,FALSE()),""))</f>
        <v/>
      </c>
    </row>
    <row r="121" customFormat="false" ht="15" hidden="false" customHeight="false" outlineLevel="0" collapsed="false">
      <c r="C121" s="45" t="str">
        <f aca="false">IF(B121="","",IFERROR(VLOOKUP(B121,Features!$A$2:$C$200,3,FALSE()),""))</f>
        <v/>
      </c>
    </row>
    <row r="122" customFormat="false" ht="15" hidden="false" customHeight="false" outlineLevel="0" collapsed="false">
      <c r="C122" s="45" t="str">
        <f aca="false">IF(B122="","",IFERROR(VLOOKUP(B122,Features!$A$2:$C$200,3,FALSE()),""))</f>
        <v/>
      </c>
    </row>
    <row r="123" customFormat="false" ht="15" hidden="false" customHeight="false" outlineLevel="0" collapsed="false">
      <c r="C123" s="45" t="str">
        <f aca="false">IF(B123="","",IFERROR(VLOOKUP(B123,Features!$A$2:$C$200,3,FALSE()),""))</f>
        <v/>
      </c>
    </row>
    <row r="124" customFormat="false" ht="15" hidden="false" customHeight="false" outlineLevel="0" collapsed="false">
      <c r="C124" s="45" t="str">
        <f aca="false">IF(B124="","",IFERROR(VLOOKUP(B124,Features!$A$2:$C$200,3,FALSE()),""))</f>
        <v/>
      </c>
    </row>
    <row r="125" customFormat="false" ht="15" hidden="false" customHeight="false" outlineLevel="0" collapsed="false">
      <c r="C125" s="45" t="str">
        <f aca="false">IF(B125="","",IFERROR(VLOOKUP(B125,Features!$A$2:$C$200,3,FALSE()),""))</f>
        <v/>
      </c>
    </row>
    <row r="126" customFormat="false" ht="15" hidden="false" customHeight="false" outlineLevel="0" collapsed="false">
      <c r="C126" s="45" t="str">
        <f aca="false">IF(B126="","",IFERROR(VLOOKUP(B126,Features!$A$2:$C$200,3,FALSE()),""))</f>
        <v/>
      </c>
    </row>
    <row r="127" customFormat="false" ht="15" hidden="false" customHeight="false" outlineLevel="0" collapsed="false">
      <c r="C127" s="45" t="str">
        <f aca="false">IF(B127="","",IFERROR(VLOOKUP(B127,Features!$A$2:$C$200,3,FALSE()),""))</f>
        <v/>
      </c>
    </row>
    <row r="128" customFormat="false" ht="15" hidden="false" customHeight="false" outlineLevel="0" collapsed="false">
      <c r="C128" s="45" t="str">
        <f aca="false">IF(B128="","",IFERROR(VLOOKUP(B128,Features!$A$2:$C$200,3,FALSE()),""))</f>
        <v/>
      </c>
    </row>
    <row r="129" customFormat="false" ht="15" hidden="false" customHeight="false" outlineLevel="0" collapsed="false">
      <c r="C129" s="45" t="str">
        <f aca="false">IF(B129="","",IFERROR(VLOOKUP(B129,Features!$A$2:$C$200,3,FALSE()),""))</f>
        <v/>
      </c>
    </row>
    <row r="130" customFormat="false" ht="15" hidden="false" customHeight="false" outlineLevel="0" collapsed="false">
      <c r="C130" s="45" t="str">
        <f aca="false">IF(B130="","",IFERROR(VLOOKUP(B130,Features!$A$2:$C$200,3,FALSE()),""))</f>
        <v/>
      </c>
    </row>
    <row r="131" customFormat="false" ht="15" hidden="false" customHeight="false" outlineLevel="0" collapsed="false">
      <c r="C131" s="45" t="str">
        <f aca="false">IF(B131="","",IFERROR(VLOOKUP(B131,Features!$A$2:$C$200,3,FALSE()),""))</f>
        <v/>
      </c>
    </row>
    <row r="132" customFormat="false" ht="15" hidden="false" customHeight="false" outlineLevel="0" collapsed="false">
      <c r="C132" s="45" t="str">
        <f aca="false">IF(B132="","",IFERROR(VLOOKUP(B132,Features!$A$2:$C$200,3,FALSE()),""))</f>
        <v/>
      </c>
    </row>
    <row r="133" customFormat="false" ht="15" hidden="false" customHeight="false" outlineLevel="0" collapsed="false">
      <c r="C133" s="45" t="str">
        <f aca="false">IF(B133="","",IFERROR(VLOOKUP(B133,Features!$A$2:$C$200,3,FALSE()),""))</f>
        <v/>
      </c>
    </row>
    <row r="134" customFormat="false" ht="15" hidden="false" customHeight="false" outlineLevel="0" collapsed="false">
      <c r="C134" s="45" t="str">
        <f aca="false">IF(B134="","",IFERROR(VLOOKUP(B134,Features!$A$2:$C$200,3,FALSE()),""))</f>
        <v/>
      </c>
    </row>
    <row r="135" customFormat="false" ht="15" hidden="false" customHeight="false" outlineLevel="0" collapsed="false">
      <c r="C135" s="45" t="str">
        <f aca="false">IF(B135="","",IFERROR(VLOOKUP(B135,Features!$A$2:$C$200,3,FALSE()),""))</f>
        <v/>
      </c>
    </row>
    <row r="136" customFormat="false" ht="15" hidden="false" customHeight="false" outlineLevel="0" collapsed="false">
      <c r="C136" s="45" t="str">
        <f aca="false">IF(B136="","",IFERROR(VLOOKUP(B136,Features!$A$2:$C$200,3,FALSE()),""))</f>
        <v/>
      </c>
    </row>
    <row r="137" customFormat="false" ht="15" hidden="false" customHeight="false" outlineLevel="0" collapsed="false">
      <c r="C137" s="45" t="str">
        <f aca="false">IF(B137="","",IFERROR(VLOOKUP(B137,Features!$A$2:$C$200,3,FALSE()),""))</f>
        <v/>
      </c>
    </row>
    <row r="138" customFormat="false" ht="15" hidden="false" customHeight="false" outlineLevel="0" collapsed="false">
      <c r="C138" s="45" t="str">
        <f aca="false">IF(B138="","",IFERROR(VLOOKUP(B138,Features!$A$2:$C$200,3,FALSE()),""))</f>
        <v/>
      </c>
    </row>
    <row r="139" customFormat="false" ht="15" hidden="false" customHeight="false" outlineLevel="0" collapsed="false">
      <c r="C139" s="45" t="str">
        <f aca="false">IF(B139="","",IFERROR(VLOOKUP(B139,Features!$A$2:$C$200,3,FALSE()),""))</f>
        <v/>
      </c>
    </row>
    <row r="140" customFormat="false" ht="15" hidden="false" customHeight="false" outlineLevel="0" collapsed="false">
      <c r="C140" s="45" t="str">
        <f aca="false">IF(B140="","",IFERROR(VLOOKUP(B140,Features!$A$2:$C$200,3,FALSE()),""))</f>
        <v/>
      </c>
    </row>
    <row r="141" customFormat="false" ht="15" hidden="false" customHeight="false" outlineLevel="0" collapsed="false">
      <c r="C141" s="45" t="str">
        <f aca="false">IF(B141="","",IFERROR(VLOOKUP(B141,Features!$A$2:$C$200,3,FALSE()),""))</f>
        <v/>
      </c>
    </row>
    <row r="142" customFormat="false" ht="15" hidden="false" customHeight="false" outlineLevel="0" collapsed="false">
      <c r="C142" s="45" t="str">
        <f aca="false">IF(B142="","",IFERROR(VLOOKUP(B142,Features!$A$2:$C$200,3,FALSE()),""))</f>
        <v/>
      </c>
    </row>
    <row r="143" customFormat="false" ht="15" hidden="false" customHeight="false" outlineLevel="0" collapsed="false">
      <c r="C143" s="45" t="str">
        <f aca="false">IF(B143="","",IFERROR(VLOOKUP(B143,Features!$A$2:$C$200,3,FALSE()),""))</f>
        <v/>
      </c>
    </row>
    <row r="144" customFormat="false" ht="15" hidden="false" customHeight="false" outlineLevel="0" collapsed="false">
      <c r="C144" s="45" t="str">
        <f aca="false">IF(B144="","",IFERROR(VLOOKUP(B144,Features!$A$2:$C$200,3,FALSE()),""))</f>
        <v/>
      </c>
    </row>
    <row r="145" customFormat="false" ht="15" hidden="false" customHeight="false" outlineLevel="0" collapsed="false">
      <c r="C145" s="45" t="str">
        <f aca="false">IF(B145="","",IFERROR(VLOOKUP(B145,Features!$A$2:$C$200,3,FALSE()),""))</f>
        <v/>
      </c>
    </row>
    <row r="146" customFormat="false" ht="15" hidden="false" customHeight="false" outlineLevel="0" collapsed="false">
      <c r="C146" s="45" t="str">
        <f aca="false">IF(B146="","",IFERROR(VLOOKUP(B146,Features!$A$2:$C$200,3,FALSE()),""))</f>
        <v/>
      </c>
    </row>
    <row r="147" customFormat="false" ht="15" hidden="false" customHeight="false" outlineLevel="0" collapsed="false">
      <c r="C147" s="45" t="str">
        <f aca="false">IF(B147="","",IFERROR(VLOOKUP(B147,Features!$A$2:$C$200,3,FALSE()),""))</f>
        <v/>
      </c>
    </row>
    <row r="148" customFormat="false" ht="15" hidden="false" customHeight="false" outlineLevel="0" collapsed="false">
      <c r="C148" s="45" t="str">
        <f aca="false">IF(B148="","",IFERROR(VLOOKUP(B148,Features!$A$2:$C$200,3,FALSE()),""))</f>
        <v/>
      </c>
    </row>
    <row r="149" customFormat="false" ht="15" hidden="false" customHeight="false" outlineLevel="0" collapsed="false">
      <c r="C149" s="45" t="str">
        <f aca="false">IF(B149="","",IFERROR(VLOOKUP(B149,Features!$A$2:$C$200,3,FALSE()),""))</f>
        <v/>
      </c>
    </row>
    <row r="150" customFormat="false" ht="15" hidden="false" customHeight="false" outlineLevel="0" collapsed="false">
      <c r="C150" s="45" t="str">
        <f aca="false">IF(B150="","",IFERROR(VLOOKUP(B150,Features!$A$2:$C$200,3,FALSE()),""))</f>
        <v/>
      </c>
    </row>
    <row r="151" customFormat="false" ht="15" hidden="false" customHeight="false" outlineLevel="0" collapsed="false">
      <c r="C151" s="45" t="str">
        <f aca="false">IF(B151="","",IFERROR(VLOOKUP(B151,Features!$A$2:$C$200,3,FALSE()),""))</f>
        <v/>
      </c>
    </row>
    <row r="152" customFormat="false" ht="15" hidden="false" customHeight="false" outlineLevel="0" collapsed="false">
      <c r="C152" s="45" t="str">
        <f aca="false">IF(B152="","",IFERROR(VLOOKUP(B152,Features!$A$2:$C$200,3,FALSE()),""))</f>
        <v/>
      </c>
    </row>
    <row r="153" customFormat="false" ht="15" hidden="false" customHeight="false" outlineLevel="0" collapsed="false">
      <c r="C153" s="45" t="str">
        <f aca="false">IF(B153="","",IFERROR(VLOOKUP(B153,Features!$A$2:$C$200,3,FALSE()),""))</f>
        <v/>
      </c>
    </row>
    <row r="154" customFormat="false" ht="15" hidden="false" customHeight="false" outlineLevel="0" collapsed="false">
      <c r="C154" s="45" t="str">
        <f aca="false">IF(B154="","",IFERROR(VLOOKUP(B154,Features!$A$2:$C$200,3,FALSE()),""))</f>
        <v/>
      </c>
    </row>
    <row r="155" customFormat="false" ht="15" hidden="false" customHeight="false" outlineLevel="0" collapsed="false">
      <c r="C155" s="45" t="str">
        <f aca="false">IF(B155="","",IFERROR(VLOOKUP(B155,Features!$A$2:$C$200,3,FALSE()),""))</f>
        <v/>
      </c>
    </row>
    <row r="156" customFormat="false" ht="15" hidden="false" customHeight="false" outlineLevel="0" collapsed="false">
      <c r="C156" s="45" t="str">
        <f aca="false">IF(B156="","",IFERROR(VLOOKUP(B156,Features!$A$2:$C$200,3,FALSE()),""))</f>
        <v/>
      </c>
    </row>
    <row r="157" customFormat="false" ht="15" hidden="false" customHeight="false" outlineLevel="0" collapsed="false">
      <c r="C157" s="45" t="str">
        <f aca="false">IF(B157="","",IFERROR(VLOOKUP(B157,Features!$A$2:$C$200,3,FALSE()),""))</f>
        <v/>
      </c>
    </row>
    <row r="158" customFormat="false" ht="15" hidden="false" customHeight="false" outlineLevel="0" collapsed="false">
      <c r="C158" s="45" t="str">
        <f aca="false">IF(B158="","",IFERROR(VLOOKUP(B158,Features!$A$2:$C$200,3,FALSE()),""))</f>
        <v/>
      </c>
    </row>
    <row r="159" customFormat="false" ht="15" hidden="false" customHeight="false" outlineLevel="0" collapsed="false">
      <c r="C159" s="45" t="str">
        <f aca="false">IF(B159="","",IFERROR(VLOOKUP(B159,Features!$A$2:$C$200,3,FALSE()),""))</f>
        <v/>
      </c>
    </row>
    <row r="160" customFormat="false" ht="15" hidden="false" customHeight="false" outlineLevel="0" collapsed="false">
      <c r="C160" s="45" t="str">
        <f aca="false">IF(B160="","",IFERROR(VLOOKUP(B160,Features!$A$2:$C$200,3,FALSE()),""))</f>
        <v/>
      </c>
    </row>
    <row r="161" customFormat="false" ht="15" hidden="false" customHeight="false" outlineLevel="0" collapsed="false">
      <c r="C161" s="45" t="str">
        <f aca="false">IF(B161="","",IFERROR(VLOOKUP(B161,Features!$A$2:$C$200,3,FALSE()),""))</f>
        <v/>
      </c>
    </row>
    <row r="162" customFormat="false" ht="15" hidden="false" customHeight="false" outlineLevel="0" collapsed="false">
      <c r="C162" s="45" t="str">
        <f aca="false">IF(B162="","",IFERROR(VLOOKUP(B162,Features!$A$2:$C$200,3,FALSE()),""))</f>
        <v/>
      </c>
    </row>
    <row r="163" customFormat="false" ht="15" hidden="false" customHeight="false" outlineLevel="0" collapsed="false">
      <c r="C163" s="45" t="str">
        <f aca="false">IF(B163="","",IFERROR(VLOOKUP(B163,Features!$A$2:$C$200,3,FALSE()),""))</f>
        <v/>
      </c>
    </row>
    <row r="164" customFormat="false" ht="15" hidden="false" customHeight="false" outlineLevel="0" collapsed="false">
      <c r="C164" s="45" t="str">
        <f aca="false">IF(B164="","",IFERROR(VLOOKUP(B164,Features!$A$2:$C$200,3,FALSE()),""))</f>
        <v/>
      </c>
    </row>
    <row r="165" customFormat="false" ht="15" hidden="false" customHeight="false" outlineLevel="0" collapsed="false">
      <c r="C165" s="45" t="str">
        <f aca="false">IF(B165="","",IFERROR(VLOOKUP(B165,Features!$A$2:$C$200,3,FALSE()),""))</f>
        <v/>
      </c>
    </row>
    <row r="166" customFormat="false" ht="15" hidden="false" customHeight="false" outlineLevel="0" collapsed="false">
      <c r="C166" s="45" t="str">
        <f aca="false">IF(B166="","",IFERROR(VLOOKUP(B166,Features!$A$2:$C$200,3,FALSE()),""))</f>
        <v/>
      </c>
    </row>
    <row r="167" customFormat="false" ht="15" hidden="false" customHeight="false" outlineLevel="0" collapsed="false">
      <c r="C167" s="45" t="str">
        <f aca="false">IF(B167="","",IFERROR(VLOOKUP(B167,Features!$A$2:$C$200,3,FALSE()),""))</f>
        <v/>
      </c>
    </row>
    <row r="168" customFormat="false" ht="15" hidden="false" customHeight="false" outlineLevel="0" collapsed="false">
      <c r="C168" s="45" t="str">
        <f aca="false">IF(B168="","",IFERROR(VLOOKUP(B168,Features!$A$2:$C$200,3,FALSE()),""))</f>
        <v/>
      </c>
    </row>
    <row r="169" customFormat="false" ht="15" hidden="false" customHeight="false" outlineLevel="0" collapsed="false">
      <c r="C169" s="45" t="str">
        <f aca="false">IF(B169="","",IFERROR(VLOOKUP(B169,Features!$A$2:$C$200,3,FALSE()),""))</f>
        <v/>
      </c>
    </row>
    <row r="170" customFormat="false" ht="15" hidden="false" customHeight="false" outlineLevel="0" collapsed="false">
      <c r="C170" s="45" t="str">
        <f aca="false">IF(B170="","",IFERROR(VLOOKUP(B170,Features!$A$2:$C$200,3,FALSE()),""))</f>
        <v/>
      </c>
    </row>
    <row r="171" customFormat="false" ht="15" hidden="false" customHeight="false" outlineLevel="0" collapsed="false">
      <c r="C171" s="45" t="str">
        <f aca="false">IF(B171="","",IFERROR(VLOOKUP(B171,Features!$A$2:$C$200,3,FALSE()),""))</f>
        <v/>
      </c>
    </row>
    <row r="172" customFormat="false" ht="15" hidden="false" customHeight="false" outlineLevel="0" collapsed="false">
      <c r="C172" s="45" t="str">
        <f aca="false">IF(B172="","",IFERROR(VLOOKUP(B172,Features!$A$2:$C$200,3,FALSE()),""))</f>
        <v/>
      </c>
    </row>
    <row r="173" customFormat="false" ht="15" hidden="false" customHeight="false" outlineLevel="0" collapsed="false">
      <c r="C173" s="45" t="str">
        <f aca="false">IF(B173="","",IFERROR(VLOOKUP(B173,Features!$A$2:$C$200,3,FALSE()),""))</f>
        <v/>
      </c>
    </row>
    <row r="174" customFormat="false" ht="15" hidden="false" customHeight="false" outlineLevel="0" collapsed="false">
      <c r="C174" s="45" t="str">
        <f aca="false">IF(B174="","",IFERROR(VLOOKUP(B174,Features!$A$2:$C$200,3,FALSE()),""))</f>
        <v/>
      </c>
    </row>
    <row r="175" customFormat="false" ht="15" hidden="false" customHeight="false" outlineLevel="0" collapsed="false">
      <c r="C175" s="45" t="str">
        <f aca="false">IF(B175="","",IFERROR(VLOOKUP(B175,Features!$A$2:$C$200,3,FALSE()),""))</f>
        <v/>
      </c>
    </row>
    <row r="176" customFormat="false" ht="15" hidden="false" customHeight="false" outlineLevel="0" collapsed="false">
      <c r="C176" s="45" t="str">
        <f aca="false">IF(B176="","",IFERROR(VLOOKUP(B176,Features!$A$2:$C$200,3,FALSE()),""))</f>
        <v/>
      </c>
    </row>
    <row r="177" customFormat="false" ht="15" hidden="false" customHeight="false" outlineLevel="0" collapsed="false">
      <c r="C177" s="45" t="str">
        <f aca="false">IF(B177="","",IFERROR(VLOOKUP(B177,Features!$A$2:$C$200,3,FALSE()),""))</f>
        <v/>
      </c>
    </row>
    <row r="178" customFormat="false" ht="15" hidden="false" customHeight="false" outlineLevel="0" collapsed="false">
      <c r="C178" s="45" t="str">
        <f aca="false">IF(B178="","",IFERROR(VLOOKUP(B178,Features!$A$2:$C$200,3,FALSE()),""))</f>
        <v/>
      </c>
    </row>
    <row r="179" customFormat="false" ht="15" hidden="false" customHeight="false" outlineLevel="0" collapsed="false">
      <c r="C179" s="45" t="str">
        <f aca="false">IF(B179="","",IFERROR(VLOOKUP(B179,Features!$A$2:$C$200,3,FALSE()),""))</f>
        <v/>
      </c>
    </row>
    <row r="180" customFormat="false" ht="15" hidden="false" customHeight="false" outlineLevel="0" collapsed="false">
      <c r="C180" s="45" t="str">
        <f aca="false">IF(B180="","",IFERROR(VLOOKUP(B180,Features!$A$2:$C$200,3,FALSE()),""))</f>
        <v/>
      </c>
    </row>
    <row r="181" customFormat="false" ht="15" hidden="false" customHeight="false" outlineLevel="0" collapsed="false">
      <c r="C181" s="45" t="str">
        <f aca="false">IF(B181="","",IFERROR(VLOOKUP(B181,Features!$A$2:$C$200,3,FALSE()),""))</f>
        <v/>
      </c>
    </row>
    <row r="182" customFormat="false" ht="15" hidden="false" customHeight="false" outlineLevel="0" collapsed="false">
      <c r="C182" s="45" t="str">
        <f aca="false">IF(B182="","",IFERROR(VLOOKUP(B182,Features!$A$2:$C$200,3,FALSE()),""))</f>
        <v/>
      </c>
    </row>
    <row r="183" customFormat="false" ht="15" hidden="false" customHeight="false" outlineLevel="0" collapsed="false">
      <c r="C183" s="45" t="str">
        <f aca="false">IF(B183="","",IFERROR(VLOOKUP(B183,Features!$A$2:$C$200,3,FALSE()),""))</f>
        <v/>
      </c>
    </row>
    <row r="184" customFormat="false" ht="15" hidden="false" customHeight="false" outlineLevel="0" collapsed="false">
      <c r="C184" s="45" t="str">
        <f aca="false">IF(B184="","",IFERROR(VLOOKUP(B184,Features!$A$2:$C$200,3,FALSE()),""))</f>
        <v/>
      </c>
    </row>
    <row r="185" customFormat="false" ht="15" hidden="false" customHeight="false" outlineLevel="0" collapsed="false">
      <c r="C185" s="45" t="str">
        <f aca="false">IF(B185="","",IFERROR(VLOOKUP(B185,Features!$A$2:$C$200,3,FALSE()),""))</f>
        <v/>
      </c>
    </row>
    <row r="186" customFormat="false" ht="15" hidden="false" customHeight="false" outlineLevel="0" collapsed="false">
      <c r="C186" s="45" t="str">
        <f aca="false">IF(B186="","",IFERROR(VLOOKUP(B186,Features!$A$2:$C$200,3,FALSE()),""))</f>
        <v/>
      </c>
    </row>
    <row r="187" customFormat="false" ht="15" hidden="false" customHeight="false" outlineLevel="0" collapsed="false">
      <c r="C187" s="45" t="str">
        <f aca="false">IF(B187="","",IFERROR(VLOOKUP(B187,Features!$A$2:$C$200,3,FALSE()),""))</f>
        <v/>
      </c>
    </row>
    <row r="188" customFormat="false" ht="15" hidden="false" customHeight="false" outlineLevel="0" collapsed="false">
      <c r="C188" s="45" t="str">
        <f aca="false">IF(B188="","",IFERROR(VLOOKUP(B188,Features!$A$2:$C$200,3,FALSE()),""))</f>
        <v/>
      </c>
    </row>
    <row r="189" customFormat="false" ht="15" hidden="false" customHeight="false" outlineLevel="0" collapsed="false">
      <c r="C189" s="45" t="str">
        <f aca="false">IF(B189="","",IFERROR(VLOOKUP(B189,Features!$A$2:$C$200,3,FALSE()),""))</f>
        <v/>
      </c>
    </row>
    <row r="190" customFormat="false" ht="15" hidden="false" customHeight="false" outlineLevel="0" collapsed="false">
      <c r="C190" s="45" t="str">
        <f aca="false">IF(B190="","",IFERROR(VLOOKUP(B190,Features!$A$2:$C$200,3,FALSE()),""))</f>
        <v/>
      </c>
    </row>
    <row r="191" customFormat="false" ht="15" hidden="false" customHeight="false" outlineLevel="0" collapsed="false">
      <c r="C191" s="45" t="str">
        <f aca="false">IF(B191="","",IFERROR(VLOOKUP(B191,Features!$A$2:$C$200,3,FALSE()),""))</f>
        <v/>
      </c>
    </row>
    <row r="192" customFormat="false" ht="15" hidden="false" customHeight="false" outlineLevel="0" collapsed="false">
      <c r="C192" s="45" t="str">
        <f aca="false">IF(B192="","",IFERROR(VLOOKUP(B192,Features!$A$2:$C$200,3,FALSE()),""))</f>
        <v/>
      </c>
    </row>
    <row r="193" customFormat="false" ht="15" hidden="false" customHeight="false" outlineLevel="0" collapsed="false">
      <c r="C193" s="45" t="str">
        <f aca="false">IF(B193="","",IFERROR(VLOOKUP(B193,Features!$A$2:$C$200,3,FALSE()),""))</f>
        <v/>
      </c>
    </row>
    <row r="194" customFormat="false" ht="15" hidden="false" customHeight="false" outlineLevel="0" collapsed="false">
      <c r="C194" s="45" t="str">
        <f aca="false">IF(B194="","",IFERROR(VLOOKUP(B194,Features!$A$2:$C$200,3,FALSE()),""))</f>
        <v/>
      </c>
    </row>
    <row r="195" customFormat="false" ht="15" hidden="false" customHeight="false" outlineLevel="0" collapsed="false">
      <c r="C195" s="45" t="str">
        <f aca="false">IF(B195="","",IFERROR(VLOOKUP(B195,Features!$A$2:$C$200,3,FALSE()),""))</f>
        <v/>
      </c>
    </row>
    <row r="196" customFormat="false" ht="15" hidden="false" customHeight="false" outlineLevel="0" collapsed="false">
      <c r="C196" s="45" t="str">
        <f aca="false">IF(B196="","",IFERROR(VLOOKUP(B196,Features!$A$2:$C$200,3,FALSE()),""))</f>
        <v/>
      </c>
    </row>
    <row r="197" customFormat="false" ht="15" hidden="false" customHeight="false" outlineLevel="0" collapsed="false">
      <c r="C197" s="45" t="str">
        <f aca="false">IF(B197="","",IFERROR(VLOOKUP(B197,Features!$A$2:$C$200,3,FALSE()),""))</f>
        <v/>
      </c>
    </row>
    <row r="198" customFormat="false" ht="15" hidden="false" customHeight="false" outlineLevel="0" collapsed="false">
      <c r="C198" s="45" t="str">
        <f aca="false">IF(B198="","",IFERROR(VLOOKUP(B198,Features!$A$2:$C$200,3,FALSE()),""))</f>
        <v/>
      </c>
    </row>
    <row r="199" customFormat="false" ht="15" hidden="false" customHeight="false" outlineLevel="0" collapsed="false">
      <c r="C199" s="45" t="str">
        <f aca="false">IF(B199="","",IFERROR(VLOOKUP(B199,Features!$A$2:$C$200,3,FALSE()),""))</f>
        <v/>
      </c>
    </row>
    <row r="200" customFormat="false" ht="15" hidden="false" customHeight="false" outlineLevel="0" collapsed="false">
      <c r="C200" s="45" t="str">
        <f aca="false">IF(B200="","",IFERROR(VLOOKUP(B200,Features!$A$2:$C$200,3,FALSE()),""))</f>
        <v/>
      </c>
    </row>
    <row r="201" customFormat="false" ht="15" hidden="false" customHeight="false" outlineLevel="0" collapsed="false">
      <c r="C201" s="45" t="str">
        <f aca="false">IF(B201="","",IFERROR(VLOOKUP(B201,Features!$A$2:$C$200,3,FALSE()),""))</f>
        <v/>
      </c>
    </row>
    <row r="202" customFormat="false" ht="15" hidden="false" customHeight="false" outlineLevel="0" collapsed="false">
      <c r="C202" s="45" t="str">
        <f aca="false">IF(B202="","",IFERROR(VLOOKUP(B202,Features!$A$2:$C$200,3,FALSE()),""))</f>
        <v/>
      </c>
    </row>
    <row r="203" customFormat="false" ht="15" hidden="false" customHeight="false" outlineLevel="0" collapsed="false">
      <c r="C203" s="45" t="str">
        <f aca="false">IF(B203="","",IFERROR(VLOOKUP(B203,Features!$A$2:$C$200,3,FALSE()),""))</f>
        <v/>
      </c>
    </row>
    <row r="204" customFormat="false" ht="15" hidden="false" customHeight="false" outlineLevel="0" collapsed="false">
      <c r="C204" s="45" t="str">
        <f aca="false">IF(B204="","",IFERROR(VLOOKUP(B204,Features!$A$2:$C$200,3,FALSE()),""))</f>
        <v/>
      </c>
    </row>
    <row r="205" customFormat="false" ht="15" hidden="false" customHeight="false" outlineLevel="0" collapsed="false">
      <c r="C205" s="45" t="str">
        <f aca="false">IF(B205="","",IFERROR(VLOOKUP(B205,Features!$A$2:$C$200,3,FALSE()),""))</f>
        <v/>
      </c>
    </row>
    <row r="206" customFormat="false" ht="15" hidden="false" customHeight="false" outlineLevel="0" collapsed="false">
      <c r="C206" s="45" t="str">
        <f aca="false">IF(B206="","",IFERROR(VLOOKUP(B206,Features!$A$2:$C$200,3,FALSE()),""))</f>
        <v/>
      </c>
    </row>
    <row r="207" customFormat="false" ht="15" hidden="false" customHeight="false" outlineLevel="0" collapsed="false">
      <c r="C207" s="45" t="str">
        <f aca="false">IF(B207="","",IFERROR(VLOOKUP(B207,Features!$A$2:$C$200,3,FALSE()),""))</f>
        <v/>
      </c>
    </row>
    <row r="208" customFormat="false" ht="15" hidden="false" customHeight="false" outlineLevel="0" collapsed="false">
      <c r="C208" s="45" t="str">
        <f aca="false">IF(B208="","",IFERROR(VLOOKUP(B208,Features!$A$2:$C$200,3,FALSE()),""))</f>
        <v/>
      </c>
    </row>
    <row r="209" customFormat="false" ht="15" hidden="false" customHeight="false" outlineLevel="0" collapsed="false">
      <c r="C209" s="45" t="str">
        <f aca="false">IF(B209="","",IFERROR(VLOOKUP(B209,Features!$A$2:$C$200,3,FALSE()),""))</f>
        <v/>
      </c>
    </row>
    <row r="210" customFormat="false" ht="15" hidden="false" customHeight="false" outlineLevel="0" collapsed="false">
      <c r="C210" s="45" t="str">
        <f aca="false">IF(B210="","",IFERROR(VLOOKUP(B210,Features!$A$2:$C$200,3,FALSE()),""))</f>
        <v/>
      </c>
    </row>
    <row r="211" customFormat="false" ht="15" hidden="false" customHeight="false" outlineLevel="0" collapsed="false">
      <c r="C211" s="45" t="str">
        <f aca="false">IF(B211="","",IFERROR(VLOOKUP(B211,Features!$A$2:$C$200,3,FALSE()),""))</f>
        <v/>
      </c>
    </row>
    <row r="212" customFormat="false" ht="15" hidden="false" customHeight="false" outlineLevel="0" collapsed="false">
      <c r="C212" s="45" t="str">
        <f aca="false">IF(B212="","",IFERROR(VLOOKUP(B212,Features!$A$2:$C$200,3,FALSE()),""))</f>
        <v/>
      </c>
    </row>
    <row r="213" customFormat="false" ht="15" hidden="false" customHeight="false" outlineLevel="0" collapsed="false">
      <c r="C213" s="45" t="str">
        <f aca="false">IF(B213="","",IFERROR(VLOOKUP(B213,Features!$A$2:$C$200,3,FALSE()),""))</f>
        <v/>
      </c>
    </row>
    <row r="214" customFormat="false" ht="15" hidden="false" customHeight="false" outlineLevel="0" collapsed="false">
      <c r="C214" s="45" t="str">
        <f aca="false">IF(B214="","",IFERROR(VLOOKUP(B214,Features!$A$2:$C$200,3,FALSE()),""))</f>
        <v/>
      </c>
    </row>
    <row r="215" customFormat="false" ht="15" hidden="false" customHeight="false" outlineLevel="0" collapsed="false">
      <c r="C215" s="45" t="str">
        <f aca="false">IF(B215="","",IFERROR(VLOOKUP(B215,Features!$A$2:$C$200,3,FALSE()),""))</f>
        <v/>
      </c>
    </row>
    <row r="216" customFormat="false" ht="15" hidden="false" customHeight="false" outlineLevel="0" collapsed="false">
      <c r="C216" s="45" t="str">
        <f aca="false">IF(B216="","",IFERROR(VLOOKUP(B216,Features!$A$2:$C$200,3,FALSE()),""))</f>
        <v/>
      </c>
    </row>
    <row r="217" customFormat="false" ht="15" hidden="false" customHeight="false" outlineLevel="0" collapsed="false">
      <c r="C217" s="45" t="str">
        <f aca="false">IF(B217="","",IFERROR(VLOOKUP(B217,Features!$A$2:$C$200,3,FALSE()),""))</f>
        <v/>
      </c>
    </row>
    <row r="218" customFormat="false" ht="15" hidden="false" customHeight="false" outlineLevel="0" collapsed="false">
      <c r="C218" s="45" t="str">
        <f aca="false">IF(B218="","",IFERROR(VLOOKUP(B218,Features!$A$2:$C$200,3,FALSE()),""))</f>
        <v/>
      </c>
    </row>
    <row r="219" customFormat="false" ht="15" hidden="false" customHeight="false" outlineLevel="0" collapsed="false">
      <c r="C219" s="45" t="str">
        <f aca="false">IF(B219="","",IFERROR(VLOOKUP(B219,Features!$A$2:$C$200,3,FALSE()),""))</f>
        <v/>
      </c>
    </row>
    <row r="220" customFormat="false" ht="15" hidden="false" customHeight="false" outlineLevel="0" collapsed="false">
      <c r="C220" s="45" t="str">
        <f aca="false">IF(B220="","",IFERROR(VLOOKUP(B220,Features!$A$2:$C$200,3,FALSE()),""))</f>
        <v/>
      </c>
    </row>
    <row r="221" customFormat="false" ht="15" hidden="false" customHeight="false" outlineLevel="0" collapsed="false">
      <c r="C221" s="45" t="str">
        <f aca="false">IF(B221="","",IFERROR(VLOOKUP(B221,Features!$A$2:$C$200,3,FALSE()),""))</f>
        <v/>
      </c>
    </row>
    <row r="222" customFormat="false" ht="15" hidden="false" customHeight="false" outlineLevel="0" collapsed="false">
      <c r="C222" s="45" t="str">
        <f aca="false">IF(B222="","",IFERROR(VLOOKUP(B222,Features!$A$2:$C$200,3,FALSE()),""))</f>
        <v/>
      </c>
    </row>
    <row r="223" customFormat="false" ht="15" hidden="false" customHeight="false" outlineLevel="0" collapsed="false">
      <c r="C223" s="45" t="str">
        <f aca="false">IF(B223="","",IFERROR(VLOOKUP(B223,Features!$A$2:$C$200,3,FALSE()),""))</f>
        <v/>
      </c>
    </row>
    <row r="224" customFormat="false" ht="15" hidden="false" customHeight="false" outlineLevel="0" collapsed="false">
      <c r="C224" s="45" t="str">
        <f aca="false">IF(B224="","",IFERROR(VLOOKUP(B224,Features!$A$2:$C$200,3,FALSE()),""))</f>
        <v/>
      </c>
    </row>
    <row r="225" customFormat="false" ht="15" hidden="false" customHeight="false" outlineLevel="0" collapsed="false">
      <c r="C225" s="45" t="str">
        <f aca="false">IF(B225="","",IFERROR(VLOOKUP(B225,Features!$A$2:$C$200,3,FALSE()),""))</f>
        <v/>
      </c>
    </row>
    <row r="226" customFormat="false" ht="15" hidden="false" customHeight="false" outlineLevel="0" collapsed="false">
      <c r="C226" s="45" t="str">
        <f aca="false">IF(B226="","",IFERROR(VLOOKUP(B226,Features!$A$2:$C$200,3,FALSE()),""))</f>
        <v/>
      </c>
    </row>
    <row r="227" customFormat="false" ht="15" hidden="false" customHeight="false" outlineLevel="0" collapsed="false">
      <c r="C227" s="45" t="str">
        <f aca="false">IF(B227="","",IFERROR(VLOOKUP(B227,Features!$A$2:$C$200,3,FALSE()),""))</f>
        <v/>
      </c>
    </row>
    <row r="228" customFormat="false" ht="15" hidden="false" customHeight="false" outlineLevel="0" collapsed="false">
      <c r="C228" s="45" t="str">
        <f aca="false">IF(B228="","",IFERROR(VLOOKUP(B228,Features!$A$2:$C$200,3,FALSE()),""))</f>
        <v/>
      </c>
    </row>
    <row r="229" customFormat="false" ht="15" hidden="false" customHeight="false" outlineLevel="0" collapsed="false">
      <c r="C229" s="45" t="str">
        <f aca="false">IF(B229="","",IFERROR(VLOOKUP(B229,Features!$A$2:$C$200,3,FALSE()),""))</f>
        <v/>
      </c>
    </row>
    <row r="230" customFormat="false" ht="15" hidden="false" customHeight="false" outlineLevel="0" collapsed="false">
      <c r="C230" s="45" t="str">
        <f aca="false">IF(B230="","",IFERROR(VLOOKUP(B230,Features!$A$2:$C$200,3,FALSE()),""))</f>
        <v/>
      </c>
    </row>
    <row r="231" customFormat="false" ht="15" hidden="false" customHeight="false" outlineLevel="0" collapsed="false">
      <c r="C231" s="45" t="str">
        <f aca="false">IF(B231="","",IFERROR(VLOOKUP(B231,Features!$A$2:$C$200,3,FALSE()),""))</f>
        <v/>
      </c>
    </row>
    <row r="232" customFormat="false" ht="15" hidden="false" customHeight="false" outlineLevel="0" collapsed="false">
      <c r="C232" s="45" t="str">
        <f aca="false">IF(B232="","",IFERROR(VLOOKUP(B232,Features!$A$2:$C$200,3,FALSE()),""))</f>
        <v/>
      </c>
    </row>
    <row r="233" customFormat="false" ht="15" hidden="false" customHeight="false" outlineLevel="0" collapsed="false">
      <c r="C233" s="45" t="str">
        <f aca="false">IF(B233="","",IFERROR(VLOOKUP(B233,Features!$A$2:$C$200,3,FALSE()),""))</f>
        <v/>
      </c>
    </row>
    <row r="234" customFormat="false" ht="15" hidden="false" customHeight="false" outlineLevel="0" collapsed="false">
      <c r="C234" s="45" t="str">
        <f aca="false">IF(B234="","",IFERROR(VLOOKUP(B234,Features!$A$2:$C$200,3,FALSE()),""))</f>
        <v/>
      </c>
    </row>
    <row r="235" customFormat="false" ht="15" hidden="false" customHeight="false" outlineLevel="0" collapsed="false">
      <c r="C235" s="45" t="str">
        <f aca="false">IF(B235="","",IFERROR(VLOOKUP(B235,Features!$A$2:$C$200,3,FALSE()),""))</f>
        <v/>
      </c>
    </row>
    <row r="236" customFormat="false" ht="15" hidden="false" customHeight="false" outlineLevel="0" collapsed="false">
      <c r="C236" s="45" t="str">
        <f aca="false">IF(B236="","",IFERROR(VLOOKUP(B236,Features!$A$2:$C$200,3,FALSE()),""))</f>
        <v/>
      </c>
    </row>
    <row r="237" customFormat="false" ht="15" hidden="false" customHeight="false" outlineLevel="0" collapsed="false">
      <c r="C237" s="45" t="str">
        <f aca="false">IF(B237="","",IFERROR(VLOOKUP(B237,Features!$A$2:$C$200,3,FALSE()),""))</f>
        <v/>
      </c>
    </row>
    <row r="238" customFormat="false" ht="15" hidden="false" customHeight="false" outlineLevel="0" collapsed="false">
      <c r="C238" s="45" t="str">
        <f aca="false">IF(B238="","",IFERROR(VLOOKUP(B238,Features!$A$2:$C$200,3,FALSE()),""))</f>
        <v/>
      </c>
    </row>
    <row r="239" customFormat="false" ht="15" hidden="false" customHeight="false" outlineLevel="0" collapsed="false">
      <c r="C239" s="45" t="str">
        <f aca="false">IF(B239="","",IFERROR(VLOOKUP(B239,Features!$A$2:$C$200,3,FALSE()),""))</f>
        <v/>
      </c>
    </row>
    <row r="240" customFormat="false" ht="15" hidden="false" customHeight="false" outlineLevel="0" collapsed="false">
      <c r="C240" s="45" t="str">
        <f aca="false">IF(B240="","",IFERROR(VLOOKUP(B240,Features!$A$2:$C$200,3,FALSE()),""))</f>
        <v/>
      </c>
    </row>
    <row r="241" customFormat="false" ht="15" hidden="false" customHeight="false" outlineLevel="0" collapsed="false">
      <c r="C241" s="45" t="str">
        <f aca="false">IF(B241="","",IFERROR(VLOOKUP(B241,Features!$A$2:$C$200,3,FALSE()),""))</f>
        <v/>
      </c>
    </row>
    <row r="242" customFormat="false" ht="15" hidden="false" customHeight="false" outlineLevel="0" collapsed="false">
      <c r="C242" s="45" t="str">
        <f aca="false">IF(B242="","",IFERROR(VLOOKUP(B242,Features!$A$2:$C$200,3,FALSE()),""))</f>
        <v/>
      </c>
    </row>
    <row r="243" customFormat="false" ht="15" hidden="false" customHeight="false" outlineLevel="0" collapsed="false">
      <c r="C243" s="45" t="str">
        <f aca="false">IF(B243="","",IFERROR(VLOOKUP(B243,Features!$A$2:$C$200,3,FALSE()),""))</f>
        <v/>
      </c>
    </row>
    <row r="244" customFormat="false" ht="15" hidden="false" customHeight="false" outlineLevel="0" collapsed="false">
      <c r="C244" s="45" t="str">
        <f aca="false">IF(B244="","",IFERROR(VLOOKUP(B244,Features!$A$2:$C$200,3,FALSE()),""))</f>
        <v/>
      </c>
    </row>
    <row r="245" customFormat="false" ht="15" hidden="false" customHeight="false" outlineLevel="0" collapsed="false">
      <c r="C245" s="45" t="str">
        <f aca="false">IF(B245="","",IFERROR(VLOOKUP(B245,Features!$A$2:$C$200,3,FALSE()),""))</f>
        <v/>
      </c>
    </row>
    <row r="246" customFormat="false" ht="15" hidden="false" customHeight="false" outlineLevel="0" collapsed="false">
      <c r="C246" s="45" t="str">
        <f aca="false">IF(B246="","",IFERROR(VLOOKUP(B246,Features!$A$2:$C$200,3,FALSE()),""))</f>
        <v/>
      </c>
    </row>
    <row r="247" customFormat="false" ht="15" hidden="false" customHeight="false" outlineLevel="0" collapsed="false">
      <c r="C247" s="45" t="str">
        <f aca="false">IF(B247="","",IFERROR(VLOOKUP(B247,Features!$A$2:$C$200,3,FALSE()),""))</f>
        <v/>
      </c>
    </row>
    <row r="248" customFormat="false" ht="15" hidden="false" customHeight="false" outlineLevel="0" collapsed="false">
      <c r="C248" s="45" t="str">
        <f aca="false">IF(B248="","",IFERROR(VLOOKUP(B248,Features!$A$2:$C$200,3,FALSE()),""))</f>
        <v/>
      </c>
    </row>
    <row r="249" customFormat="false" ht="15" hidden="false" customHeight="false" outlineLevel="0" collapsed="false">
      <c r="C249" s="45" t="str">
        <f aca="false">IF(B249="","",IFERROR(VLOOKUP(B249,Features!$A$2:$C$200,3,FALSE()),""))</f>
        <v/>
      </c>
    </row>
    <row r="250" customFormat="false" ht="15" hidden="false" customHeight="false" outlineLevel="0" collapsed="false">
      <c r="C250" s="45" t="str">
        <f aca="false">IF(B250="","",IFERROR(VLOOKUP(B250,Features!$A$2:$C$200,3,FALSE()),""))</f>
        <v/>
      </c>
    </row>
    <row r="251" customFormat="false" ht="15" hidden="false" customHeight="false" outlineLevel="0" collapsed="false">
      <c r="C251" s="45" t="str">
        <f aca="false">IF(B251="","",IFERROR(VLOOKUP(B251,Features!$A$2:$C$200,3,FALSE()),""))</f>
        <v/>
      </c>
    </row>
    <row r="252" customFormat="false" ht="15" hidden="false" customHeight="false" outlineLevel="0" collapsed="false">
      <c r="C252" s="45" t="str">
        <f aca="false">IF(B252="","",IFERROR(VLOOKUP(B252,Features!$A$2:$C$200,3,FALSE()),""))</f>
        <v/>
      </c>
    </row>
    <row r="253" customFormat="false" ht="15" hidden="false" customHeight="false" outlineLevel="0" collapsed="false">
      <c r="C253" s="45" t="str">
        <f aca="false">IF(B253="","",IFERROR(VLOOKUP(B253,Features!$A$2:$C$200,3,FALSE()),""))</f>
        <v/>
      </c>
    </row>
    <row r="254" customFormat="false" ht="15" hidden="false" customHeight="false" outlineLevel="0" collapsed="false">
      <c r="C254" s="45" t="str">
        <f aca="false">IF(B254="","",IFERROR(VLOOKUP(B254,Features!$A$2:$C$200,3,FALSE()),""))</f>
        <v/>
      </c>
    </row>
    <row r="255" customFormat="false" ht="15" hidden="false" customHeight="false" outlineLevel="0" collapsed="false">
      <c r="C255" s="45" t="str">
        <f aca="false">IF(B255="","",IFERROR(VLOOKUP(B255,Features!$A$2:$C$200,3,FALSE()),""))</f>
        <v/>
      </c>
    </row>
    <row r="256" customFormat="false" ht="15" hidden="false" customHeight="false" outlineLevel="0" collapsed="false">
      <c r="C256" s="45" t="str">
        <f aca="false">IF(B256="","",IFERROR(VLOOKUP(B256,Features!$A$2:$C$200,3,FALSE()),""))</f>
        <v/>
      </c>
    </row>
    <row r="257" customFormat="false" ht="15" hidden="false" customHeight="false" outlineLevel="0" collapsed="false">
      <c r="C257" s="45" t="str">
        <f aca="false">IF(B257="","",IFERROR(VLOOKUP(B257,Features!$A$2:$C$200,3,FALSE()),""))</f>
        <v/>
      </c>
    </row>
    <row r="258" customFormat="false" ht="15" hidden="false" customHeight="false" outlineLevel="0" collapsed="false">
      <c r="C258" s="45" t="str">
        <f aca="false">IF(B258="","",IFERROR(VLOOKUP(B258,Features!$A$2:$C$200,3,FALSE()),""))</f>
        <v/>
      </c>
    </row>
    <row r="259" customFormat="false" ht="15" hidden="false" customHeight="false" outlineLevel="0" collapsed="false">
      <c r="C259" s="45" t="str">
        <f aca="false">IF(B259="","",IFERROR(VLOOKUP(B259,Features!$A$2:$C$200,3,FALSE()),""))</f>
        <v/>
      </c>
    </row>
    <row r="260" customFormat="false" ht="15" hidden="false" customHeight="false" outlineLevel="0" collapsed="false">
      <c r="C260" s="45" t="str">
        <f aca="false">IF(B260="","",IFERROR(VLOOKUP(B260,Features!$A$2:$C$200,3,FALSE()),""))</f>
        <v/>
      </c>
    </row>
    <row r="261" customFormat="false" ht="15" hidden="false" customHeight="false" outlineLevel="0" collapsed="false">
      <c r="C261" s="45" t="str">
        <f aca="false">IF(B261="","",IFERROR(VLOOKUP(B261,Features!$A$2:$C$200,3,FALSE()),""))</f>
        <v/>
      </c>
    </row>
    <row r="262" customFormat="false" ht="15" hidden="false" customHeight="false" outlineLevel="0" collapsed="false">
      <c r="C262" s="45" t="str">
        <f aca="false">IF(B262="","",IFERROR(VLOOKUP(B262,Features!$A$2:$C$200,3,FALSE()),""))</f>
        <v/>
      </c>
    </row>
    <row r="263" customFormat="false" ht="15" hidden="false" customHeight="false" outlineLevel="0" collapsed="false">
      <c r="C263" s="45" t="str">
        <f aca="false">IF(B263="","",IFERROR(VLOOKUP(B263,Features!$A$2:$C$200,3,FALSE()),""))</f>
        <v/>
      </c>
    </row>
    <row r="264" customFormat="false" ht="15" hidden="false" customHeight="false" outlineLevel="0" collapsed="false">
      <c r="C264" s="45" t="str">
        <f aca="false">IF(B264="","",IFERROR(VLOOKUP(B264,Features!$A$2:$C$200,3,FALSE()),""))</f>
        <v/>
      </c>
    </row>
    <row r="265" customFormat="false" ht="15" hidden="false" customHeight="false" outlineLevel="0" collapsed="false">
      <c r="C265" s="45" t="str">
        <f aca="false">IF(B265="","",IFERROR(VLOOKUP(B265,Features!$A$2:$C$200,3,FALSE()),""))</f>
        <v/>
      </c>
    </row>
    <row r="266" customFormat="false" ht="15" hidden="false" customHeight="false" outlineLevel="0" collapsed="false">
      <c r="C266" s="45" t="str">
        <f aca="false">IF(B266="","",IFERROR(VLOOKUP(B266,Features!$A$2:$C$200,3,FALSE()),""))</f>
        <v/>
      </c>
    </row>
    <row r="267" customFormat="false" ht="15" hidden="false" customHeight="false" outlineLevel="0" collapsed="false">
      <c r="C267" s="45" t="str">
        <f aca="false">IF(B267="","",IFERROR(VLOOKUP(B267,Features!$A$2:$C$200,3,FALSE()),""))</f>
        <v/>
      </c>
    </row>
    <row r="268" customFormat="false" ht="15" hidden="false" customHeight="false" outlineLevel="0" collapsed="false">
      <c r="C268" s="45" t="str">
        <f aca="false">IF(B268="","",IFERROR(VLOOKUP(B268,Features!$A$2:$C$200,3,FALSE()),""))</f>
        <v/>
      </c>
    </row>
    <row r="269" customFormat="false" ht="15" hidden="false" customHeight="false" outlineLevel="0" collapsed="false">
      <c r="C269" s="45" t="str">
        <f aca="false">IF(B269="","",IFERROR(VLOOKUP(B269,Features!$A$2:$C$200,3,FALSE()),""))</f>
        <v/>
      </c>
    </row>
    <row r="270" customFormat="false" ht="15" hidden="false" customHeight="false" outlineLevel="0" collapsed="false">
      <c r="C270" s="45" t="str">
        <f aca="false">IF(B270="","",IFERROR(VLOOKUP(B270,Features!$A$2:$C$200,3,FALSE()),""))</f>
        <v/>
      </c>
    </row>
    <row r="271" customFormat="false" ht="15" hidden="false" customHeight="false" outlineLevel="0" collapsed="false">
      <c r="C271" s="45" t="str">
        <f aca="false">IF(B271="","",IFERROR(VLOOKUP(B271,Features!$A$2:$C$200,3,FALSE()),""))</f>
        <v/>
      </c>
    </row>
    <row r="272" customFormat="false" ht="15" hidden="false" customHeight="false" outlineLevel="0" collapsed="false">
      <c r="C272" s="45" t="str">
        <f aca="false">IF(B272="","",IFERROR(VLOOKUP(B272,Features!$A$2:$C$200,3,FALSE()),""))</f>
        <v/>
      </c>
    </row>
    <row r="273" customFormat="false" ht="15" hidden="false" customHeight="false" outlineLevel="0" collapsed="false">
      <c r="C273" s="45" t="str">
        <f aca="false">IF(B273="","",IFERROR(VLOOKUP(B273,Features!$A$2:$C$200,3,FALSE()),""))</f>
        <v/>
      </c>
    </row>
    <row r="274" customFormat="false" ht="15" hidden="false" customHeight="false" outlineLevel="0" collapsed="false">
      <c r="C274" s="45" t="str">
        <f aca="false">IF(B274="","",IFERROR(VLOOKUP(B274,Features!$A$2:$C$200,3,FALSE()),""))</f>
        <v/>
      </c>
    </row>
    <row r="275" customFormat="false" ht="15" hidden="false" customHeight="false" outlineLevel="0" collapsed="false">
      <c r="C275" s="45" t="str">
        <f aca="false">IF(B275="","",IFERROR(VLOOKUP(B275,Features!$A$2:$C$200,3,FALSE()),""))</f>
        <v/>
      </c>
    </row>
    <row r="276" customFormat="false" ht="15" hidden="false" customHeight="false" outlineLevel="0" collapsed="false">
      <c r="C276" s="45" t="str">
        <f aca="false">IF(B276="","",IFERROR(VLOOKUP(B276,Features!$A$2:$C$200,3,FALSE()),""))</f>
        <v/>
      </c>
    </row>
    <row r="277" customFormat="false" ht="15" hidden="false" customHeight="false" outlineLevel="0" collapsed="false">
      <c r="C277" s="45" t="str">
        <f aca="false">IF(B277="","",IFERROR(VLOOKUP(B277,Features!$A$2:$C$200,3,FALSE()),""))</f>
        <v/>
      </c>
    </row>
    <row r="278" customFormat="false" ht="15" hidden="false" customHeight="false" outlineLevel="0" collapsed="false">
      <c r="C278" s="45" t="str">
        <f aca="false">IF(B278="","",IFERROR(VLOOKUP(B278,Features!$A$2:$C$200,3,FALSE()),""))</f>
        <v/>
      </c>
    </row>
    <row r="279" customFormat="false" ht="15" hidden="false" customHeight="false" outlineLevel="0" collapsed="false">
      <c r="C279" s="45" t="str">
        <f aca="false">IF(B279="","",IFERROR(VLOOKUP(B279,Features!$A$2:$C$200,3,FALSE()),""))</f>
        <v/>
      </c>
    </row>
    <row r="280" customFormat="false" ht="15" hidden="false" customHeight="false" outlineLevel="0" collapsed="false">
      <c r="C280" s="45" t="str">
        <f aca="false">IF(B280="","",IFERROR(VLOOKUP(B280,Features!$A$2:$C$200,3,FALSE()),""))</f>
        <v/>
      </c>
    </row>
    <row r="281" customFormat="false" ht="15" hidden="false" customHeight="false" outlineLevel="0" collapsed="false">
      <c r="C281" s="45" t="str">
        <f aca="false">IF(B281="","",IFERROR(VLOOKUP(B281,Features!$A$2:$C$200,3,FALSE()),""))</f>
        <v/>
      </c>
    </row>
    <row r="282" customFormat="false" ht="15" hidden="false" customHeight="false" outlineLevel="0" collapsed="false">
      <c r="C282" s="45" t="str">
        <f aca="false">IF(B282="","",IFERROR(VLOOKUP(B282,Features!$A$2:$C$200,3,FALSE()),""))</f>
        <v/>
      </c>
    </row>
    <row r="283" customFormat="false" ht="15" hidden="false" customHeight="false" outlineLevel="0" collapsed="false">
      <c r="C283" s="45" t="str">
        <f aca="false">IF(B283="","",IFERROR(VLOOKUP(B283,Features!$A$2:$C$200,3,FALSE()),""))</f>
        <v/>
      </c>
    </row>
    <row r="284" customFormat="false" ht="15" hidden="false" customHeight="false" outlineLevel="0" collapsed="false">
      <c r="C284" s="45" t="str">
        <f aca="false">IF(B284="","",IFERROR(VLOOKUP(B284,Features!$A$2:$C$200,3,FALSE()),""))</f>
        <v/>
      </c>
    </row>
    <row r="285" customFormat="false" ht="15" hidden="false" customHeight="false" outlineLevel="0" collapsed="false">
      <c r="C285" s="45" t="str">
        <f aca="false">IF(B285="","",IFERROR(VLOOKUP(B285,Features!$A$2:$C$200,3,FALSE()),""))</f>
        <v/>
      </c>
    </row>
    <row r="286" customFormat="false" ht="15" hidden="false" customHeight="false" outlineLevel="0" collapsed="false">
      <c r="C286" s="45" t="str">
        <f aca="false">IF(B286="","",IFERROR(VLOOKUP(B286,Features!$A$2:$C$200,3,FALSE()),""))</f>
        <v/>
      </c>
    </row>
    <row r="287" customFormat="false" ht="15" hidden="false" customHeight="false" outlineLevel="0" collapsed="false">
      <c r="C287" s="45" t="str">
        <f aca="false">IF(B287="","",IFERROR(VLOOKUP(B287,Features!$A$2:$C$200,3,FALSE()),""))</f>
        <v/>
      </c>
    </row>
    <row r="288" customFormat="false" ht="15" hidden="false" customHeight="false" outlineLevel="0" collapsed="false">
      <c r="C288" s="45" t="str">
        <f aca="false">IF(B288="","",IFERROR(VLOOKUP(B288,Features!$A$2:$C$200,3,FALSE()),""))</f>
        <v/>
      </c>
    </row>
    <row r="289" customFormat="false" ht="15" hidden="false" customHeight="false" outlineLevel="0" collapsed="false">
      <c r="C289" s="45" t="str">
        <f aca="false">IF(B289="","",IFERROR(VLOOKUP(B289,Features!$A$2:$C$200,3,FALSE()),""))</f>
        <v/>
      </c>
    </row>
    <row r="290" customFormat="false" ht="15" hidden="false" customHeight="false" outlineLevel="0" collapsed="false">
      <c r="C290" s="45" t="str">
        <f aca="false">IF(B290="","",IFERROR(VLOOKUP(B290,Features!$A$2:$C$200,3,FALSE()),""))</f>
        <v/>
      </c>
    </row>
    <row r="291" customFormat="false" ht="15" hidden="false" customHeight="false" outlineLevel="0" collapsed="false">
      <c r="C291" s="45" t="str">
        <f aca="false">IF(B291="","",IFERROR(VLOOKUP(B291,Features!$A$2:$C$200,3,FALSE()),""))</f>
        <v/>
      </c>
    </row>
    <row r="292" customFormat="false" ht="15" hidden="false" customHeight="false" outlineLevel="0" collapsed="false">
      <c r="C292" s="45" t="str">
        <f aca="false">IF(B292="","",IFERROR(VLOOKUP(B292,Features!$A$2:$C$200,3,FALSE()),""))</f>
        <v/>
      </c>
    </row>
    <row r="293" customFormat="false" ht="15" hidden="false" customHeight="false" outlineLevel="0" collapsed="false">
      <c r="C293" s="45" t="str">
        <f aca="false">IF(B293="","",IFERROR(VLOOKUP(B293,Features!$A$2:$C$200,3,FALSE()),""))</f>
        <v/>
      </c>
    </row>
    <row r="294" customFormat="false" ht="15" hidden="false" customHeight="false" outlineLevel="0" collapsed="false">
      <c r="C294" s="45" t="str">
        <f aca="false">IF(B294="","",IFERROR(VLOOKUP(B294,Features!$A$2:$C$200,3,FALSE()),""))</f>
        <v/>
      </c>
    </row>
    <row r="295" customFormat="false" ht="15" hidden="false" customHeight="false" outlineLevel="0" collapsed="false">
      <c r="C295" s="45" t="str">
        <f aca="false">IF(B295="","",IFERROR(VLOOKUP(B295,Features!$A$2:$C$200,3,FALSE()),""))</f>
        <v/>
      </c>
    </row>
    <row r="296" customFormat="false" ht="15" hidden="false" customHeight="false" outlineLevel="0" collapsed="false">
      <c r="C296" s="45" t="str">
        <f aca="false">IF(B296="","",IFERROR(VLOOKUP(B296,Features!$A$2:$C$200,3,FALSE()),""))</f>
        <v/>
      </c>
    </row>
    <row r="297" customFormat="false" ht="15" hidden="false" customHeight="false" outlineLevel="0" collapsed="false">
      <c r="C297" s="45" t="str">
        <f aca="false">IF(B297="","",IFERROR(VLOOKUP(B297,Features!$A$2:$C$200,3,FALSE()),""))</f>
        <v/>
      </c>
    </row>
    <row r="298" customFormat="false" ht="15" hidden="false" customHeight="false" outlineLevel="0" collapsed="false">
      <c r="C298" s="45" t="str">
        <f aca="false">IF(B298="","",IFERROR(VLOOKUP(B298,Features!$A$2:$C$200,3,FALSE()),""))</f>
        <v/>
      </c>
    </row>
    <row r="299" customFormat="false" ht="15" hidden="false" customHeight="false" outlineLevel="0" collapsed="false">
      <c r="C299" s="45" t="str">
        <f aca="false">IF(B299="","",IFERROR(VLOOKUP(B299,Features!$A$2:$C$200,3,FALSE()),""))</f>
        <v/>
      </c>
    </row>
    <row r="300" customFormat="false" ht="15" hidden="false" customHeight="false" outlineLevel="0" collapsed="false">
      <c r="C300" s="45" t="str">
        <f aca="false">IF(B300="","",IFERROR(VLOOKUP(B300,Features!$A$2:$C$200,3,FALSE()),""))</f>
        <v/>
      </c>
    </row>
    <row r="301" customFormat="false" ht="15" hidden="false" customHeight="false" outlineLevel="0" collapsed="false">
      <c r="C301" s="45" t="str">
        <f aca="false">IF(B301="","",IFERROR(VLOOKUP(B301,Features!$A$2:$C$200,3,FALSE()),""))</f>
        <v/>
      </c>
    </row>
    <row r="302" customFormat="false" ht="15" hidden="false" customHeight="false" outlineLevel="0" collapsed="false">
      <c r="C302" s="45" t="str">
        <f aca="false">IF(B302="","",IFERROR(VLOOKUP(B302,Features!$A$2:$C$200,3,FALSE()),""))</f>
        <v/>
      </c>
    </row>
    <row r="303" customFormat="false" ht="15" hidden="false" customHeight="false" outlineLevel="0" collapsed="false">
      <c r="C303" s="45" t="str">
        <f aca="false">IF(B303="","",IFERROR(VLOOKUP(B303,Features!$A$2:$C$200,3,FALSE()),""))</f>
        <v/>
      </c>
    </row>
    <row r="304" customFormat="false" ht="15" hidden="false" customHeight="false" outlineLevel="0" collapsed="false">
      <c r="C304" s="45" t="str">
        <f aca="false">IF(B304="","",IFERROR(VLOOKUP(B304,Features!$A$2:$C$200,3,FALSE()),""))</f>
        <v/>
      </c>
    </row>
    <row r="305" customFormat="false" ht="15" hidden="false" customHeight="false" outlineLevel="0" collapsed="false">
      <c r="C305" s="45" t="str">
        <f aca="false">IF(B305="","",IFERROR(VLOOKUP(B305,Features!$A$2:$C$200,3,FALSE()),""))</f>
        <v/>
      </c>
    </row>
    <row r="306" customFormat="false" ht="15" hidden="false" customHeight="false" outlineLevel="0" collapsed="false">
      <c r="C306" s="45" t="str">
        <f aca="false">IF(B306="","",IFERROR(VLOOKUP(B306,Features!$A$2:$C$200,3,FALSE()),""))</f>
        <v/>
      </c>
    </row>
    <row r="307" customFormat="false" ht="15" hidden="false" customHeight="false" outlineLevel="0" collapsed="false">
      <c r="C307" s="45" t="str">
        <f aca="false">IF(B307="","",IFERROR(VLOOKUP(B307,Features!$A$2:$C$200,3,FALSE()),""))</f>
        <v/>
      </c>
    </row>
    <row r="308" customFormat="false" ht="15" hidden="false" customHeight="false" outlineLevel="0" collapsed="false">
      <c r="C308" s="45" t="str">
        <f aca="false">IF(B308="","",IFERROR(VLOOKUP(B308,Features!$A$2:$C$200,3,FALSE()),""))</f>
        <v/>
      </c>
    </row>
    <row r="309" customFormat="false" ht="15" hidden="false" customHeight="false" outlineLevel="0" collapsed="false">
      <c r="C309" s="45" t="str">
        <f aca="false">IF(B309="","",IFERROR(VLOOKUP(B309,Features!$A$2:$C$200,3,FALSE()),""))</f>
        <v/>
      </c>
    </row>
    <row r="310" customFormat="false" ht="15" hidden="false" customHeight="false" outlineLevel="0" collapsed="false">
      <c r="C310" s="45" t="str">
        <f aca="false">IF(B310="","",IFERROR(VLOOKUP(B310,Features!$A$2:$C$200,3,FALSE()),""))</f>
        <v/>
      </c>
    </row>
    <row r="311" customFormat="false" ht="15" hidden="false" customHeight="false" outlineLevel="0" collapsed="false">
      <c r="C311" s="45" t="str">
        <f aca="false">IF(B311="","",IFERROR(VLOOKUP(B311,Features!$A$2:$C$200,3,FALSE()),""))</f>
        <v/>
      </c>
    </row>
    <row r="312" customFormat="false" ht="15" hidden="false" customHeight="false" outlineLevel="0" collapsed="false">
      <c r="C312" s="45" t="str">
        <f aca="false">IF(B312="","",IFERROR(VLOOKUP(B312,Features!$A$2:$C$200,3,FALSE()),""))</f>
        <v/>
      </c>
    </row>
    <row r="313" customFormat="false" ht="15" hidden="false" customHeight="false" outlineLevel="0" collapsed="false">
      <c r="C313" s="45" t="str">
        <f aca="false">IF(B313="","",IFERROR(VLOOKUP(B313,Features!$A$2:$C$200,3,FALSE()),""))</f>
        <v/>
      </c>
    </row>
    <row r="314" customFormat="false" ht="15" hidden="false" customHeight="false" outlineLevel="0" collapsed="false">
      <c r="C314" s="45" t="str">
        <f aca="false">IF(B314="","",IFERROR(VLOOKUP(B314,Features!$A$2:$C$200,3,FALSE()),""))</f>
        <v/>
      </c>
    </row>
    <row r="315" customFormat="false" ht="15" hidden="false" customHeight="false" outlineLevel="0" collapsed="false">
      <c r="C315" s="45" t="str">
        <f aca="false">IF(B315="","",IFERROR(VLOOKUP(B315,Features!$A$2:$C$200,3,FALSE()),""))</f>
        <v/>
      </c>
    </row>
    <row r="316" customFormat="false" ht="15" hidden="false" customHeight="false" outlineLevel="0" collapsed="false">
      <c r="C316" s="45" t="str">
        <f aca="false">IF(B316="","",IFERROR(VLOOKUP(B316,Features!$A$2:$C$200,3,FALSE()),""))</f>
        <v/>
      </c>
    </row>
    <row r="317" customFormat="false" ht="15" hidden="false" customHeight="false" outlineLevel="0" collapsed="false">
      <c r="C317" s="45" t="str">
        <f aca="false">IF(B317="","",IFERROR(VLOOKUP(B317,Features!$A$2:$C$200,3,FALSE()),""))</f>
        <v/>
      </c>
    </row>
    <row r="318" customFormat="false" ht="15" hidden="false" customHeight="false" outlineLevel="0" collapsed="false">
      <c r="C318" s="45" t="str">
        <f aca="false">IF(B318="","",IFERROR(VLOOKUP(B318,Features!$A$2:$C$200,3,FALSE()),""))</f>
        <v/>
      </c>
    </row>
    <row r="319" customFormat="false" ht="15" hidden="false" customHeight="false" outlineLevel="0" collapsed="false">
      <c r="C319" s="45" t="str">
        <f aca="false">IF(B319="","",IFERROR(VLOOKUP(B319,Features!$A$2:$C$200,3,FALSE()),""))</f>
        <v/>
      </c>
    </row>
    <row r="320" customFormat="false" ht="15" hidden="false" customHeight="false" outlineLevel="0" collapsed="false">
      <c r="C320" s="45" t="str">
        <f aca="false">IF(B320="","",IFERROR(VLOOKUP(B320,Features!$A$2:$C$200,3,FALSE()),""))</f>
        <v/>
      </c>
    </row>
    <row r="321" customFormat="false" ht="15" hidden="false" customHeight="false" outlineLevel="0" collapsed="false">
      <c r="C321" s="45" t="str">
        <f aca="false">IF(B321="","",IFERROR(VLOOKUP(B321,Features!$A$2:$C$200,3,FALSE()),""))</f>
        <v/>
      </c>
    </row>
    <row r="322" customFormat="false" ht="15" hidden="false" customHeight="false" outlineLevel="0" collapsed="false">
      <c r="C322" s="45" t="str">
        <f aca="false">IF(B322="","",IFERROR(VLOOKUP(B322,Features!$A$2:$C$200,3,FALSE()),""))</f>
        <v/>
      </c>
    </row>
    <row r="323" customFormat="false" ht="15" hidden="false" customHeight="false" outlineLevel="0" collapsed="false">
      <c r="C323" s="45" t="str">
        <f aca="false">IF(B323="","",IFERROR(VLOOKUP(B323,Features!$A$2:$C$200,3,FALSE()),""))</f>
        <v/>
      </c>
    </row>
    <row r="324" customFormat="false" ht="15" hidden="false" customHeight="false" outlineLevel="0" collapsed="false">
      <c r="C324" s="45" t="str">
        <f aca="false">IF(B324="","",IFERROR(VLOOKUP(B324,Features!$A$2:$C$200,3,FALSE()),""))</f>
        <v/>
      </c>
    </row>
    <row r="325" customFormat="false" ht="15" hidden="false" customHeight="false" outlineLevel="0" collapsed="false">
      <c r="C325" s="45" t="str">
        <f aca="false">IF(B325="","",IFERROR(VLOOKUP(B325,Features!$A$2:$C$200,3,FALSE()),""))</f>
        <v/>
      </c>
    </row>
    <row r="326" customFormat="false" ht="15" hidden="false" customHeight="false" outlineLevel="0" collapsed="false">
      <c r="C326" s="45" t="str">
        <f aca="false">IF(B326="","",IFERROR(VLOOKUP(B326,Features!$A$2:$C$200,3,FALSE()),""))</f>
        <v/>
      </c>
    </row>
    <row r="327" customFormat="false" ht="15" hidden="false" customHeight="false" outlineLevel="0" collapsed="false">
      <c r="C327" s="45" t="str">
        <f aca="false">IF(B327="","",IFERROR(VLOOKUP(B327,Features!$A$2:$C$200,3,FALSE()),""))</f>
        <v/>
      </c>
    </row>
    <row r="328" customFormat="false" ht="15" hidden="false" customHeight="false" outlineLevel="0" collapsed="false">
      <c r="C328" s="45" t="str">
        <f aca="false">IF(B328="","",IFERROR(VLOOKUP(B328,Features!$A$2:$C$200,3,FALSE()),""))</f>
        <v/>
      </c>
    </row>
    <row r="329" customFormat="false" ht="15" hidden="false" customHeight="false" outlineLevel="0" collapsed="false">
      <c r="C329" s="45" t="str">
        <f aca="false">IF(B329="","",IFERROR(VLOOKUP(B329,Features!$A$2:$C$200,3,FALSE()),""))</f>
        <v/>
      </c>
    </row>
    <row r="330" customFormat="false" ht="15" hidden="false" customHeight="false" outlineLevel="0" collapsed="false">
      <c r="C330" s="45" t="str">
        <f aca="false">IF(B330="","",IFERROR(VLOOKUP(B330,Features!$A$2:$C$200,3,FALSE()),""))</f>
        <v/>
      </c>
    </row>
    <row r="331" customFormat="false" ht="15" hidden="false" customHeight="false" outlineLevel="0" collapsed="false">
      <c r="C331" s="45" t="str">
        <f aca="false">IF(B331="","",IFERROR(VLOOKUP(B331,Features!$A$2:$C$200,3,FALSE()),""))</f>
        <v/>
      </c>
    </row>
    <row r="332" customFormat="false" ht="15" hidden="false" customHeight="false" outlineLevel="0" collapsed="false">
      <c r="C332" s="45" t="str">
        <f aca="false">IF(B332="","",IFERROR(VLOOKUP(B332,Features!$A$2:$C$200,3,FALSE()),""))</f>
        <v/>
      </c>
    </row>
    <row r="333" customFormat="false" ht="15" hidden="false" customHeight="false" outlineLevel="0" collapsed="false">
      <c r="C333" s="45" t="str">
        <f aca="false">IF(B333="","",IFERROR(VLOOKUP(B333,Features!$A$2:$C$200,3,FALSE()),""))</f>
        <v/>
      </c>
    </row>
    <row r="334" customFormat="false" ht="15" hidden="false" customHeight="false" outlineLevel="0" collapsed="false">
      <c r="C334" s="45" t="str">
        <f aca="false">IF(B334="","",IFERROR(VLOOKUP(B334,Features!$A$2:$C$200,3,FALSE()),""))</f>
        <v/>
      </c>
    </row>
    <row r="335" customFormat="false" ht="15" hidden="false" customHeight="false" outlineLevel="0" collapsed="false">
      <c r="C335" s="45" t="str">
        <f aca="false">IF(B335="","",IFERROR(VLOOKUP(B335,Features!$A$2:$C$200,3,FALSE()),""))</f>
        <v/>
      </c>
    </row>
    <row r="336" customFormat="false" ht="15" hidden="false" customHeight="false" outlineLevel="0" collapsed="false">
      <c r="C336" s="45" t="str">
        <f aca="false">IF(B336="","",IFERROR(VLOOKUP(B336,Features!$A$2:$C$200,3,FALSE()),""))</f>
        <v/>
      </c>
    </row>
    <row r="337" customFormat="false" ht="15" hidden="false" customHeight="false" outlineLevel="0" collapsed="false">
      <c r="C337" s="45" t="str">
        <f aca="false">IF(B337="","",IFERROR(VLOOKUP(B337,Features!$A$2:$C$200,3,FALSE()),""))</f>
        <v/>
      </c>
    </row>
    <row r="338" customFormat="false" ht="15" hidden="false" customHeight="false" outlineLevel="0" collapsed="false">
      <c r="C338" s="45" t="str">
        <f aca="false">IF(B338="","",IFERROR(VLOOKUP(B338,Features!$A$2:$C$200,3,FALSE()),""))</f>
        <v/>
      </c>
    </row>
    <row r="339" customFormat="false" ht="15" hidden="false" customHeight="false" outlineLevel="0" collapsed="false">
      <c r="C339" s="45" t="str">
        <f aca="false">IF(B339="","",IFERROR(VLOOKUP(B339,Features!$A$2:$C$200,3,FALSE()),""))</f>
        <v/>
      </c>
    </row>
    <row r="340" customFormat="false" ht="15" hidden="false" customHeight="false" outlineLevel="0" collapsed="false">
      <c r="C340" s="45" t="str">
        <f aca="false">IF(B340="","",IFERROR(VLOOKUP(B340,Features!$A$2:$C$200,3,FALSE()),""))</f>
        <v/>
      </c>
    </row>
    <row r="341" customFormat="false" ht="15" hidden="false" customHeight="false" outlineLevel="0" collapsed="false">
      <c r="C341" s="45" t="str">
        <f aca="false">IF(B341="","",IFERROR(VLOOKUP(B341,Features!$A$2:$C$200,3,FALSE()),""))</f>
        <v/>
      </c>
    </row>
    <row r="342" customFormat="false" ht="15" hidden="false" customHeight="false" outlineLevel="0" collapsed="false">
      <c r="C342" s="45" t="str">
        <f aca="false">IF(B342="","",IFERROR(VLOOKUP(B342,Features!$A$2:$C$200,3,FALSE()),""))</f>
        <v/>
      </c>
    </row>
    <row r="343" customFormat="false" ht="15" hidden="false" customHeight="false" outlineLevel="0" collapsed="false">
      <c r="C343" s="45" t="str">
        <f aca="false">IF(B343="","",IFERROR(VLOOKUP(B343,Features!$A$2:$C$200,3,FALSE()),""))</f>
        <v/>
      </c>
    </row>
    <row r="344" customFormat="false" ht="15" hidden="false" customHeight="false" outlineLevel="0" collapsed="false">
      <c r="C344" s="45" t="str">
        <f aca="false">IF(B344="","",IFERROR(VLOOKUP(B344,Features!$A$2:$C$200,3,FALSE()),""))</f>
        <v/>
      </c>
    </row>
    <row r="345" customFormat="false" ht="15" hidden="false" customHeight="false" outlineLevel="0" collapsed="false">
      <c r="C345" s="45" t="str">
        <f aca="false">IF(B345="","",IFERROR(VLOOKUP(B345,Features!$A$2:$C$200,3,FALSE()),""))</f>
        <v/>
      </c>
    </row>
    <row r="346" customFormat="false" ht="15" hidden="false" customHeight="false" outlineLevel="0" collapsed="false">
      <c r="C346" s="45" t="str">
        <f aca="false">IF(B346="","",IFERROR(VLOOKUP(B346,Features!$A$2:$C$200,3,FALSE()),""))</f>
        <v/>
      </c>
    </row>
    <row r="347" customFormat="false" ht="15" hidden="false" customHeight="false" outlineLevel="0" collapsed="false">
      <c r="C347" s="45" t="str">
        <f aca="false">IF(B347="","",IFERROR(VLOOKUP(B347,Features!$A$2:$C$200,3,FALSE()),""))</f>
        <v/>
      </c>
    </row>
    <row r="348" customFormat="false" ht="15" hidden="false" customHeight="false" outlineLevel="0" collapsed="false">
      <c r="C348" s="45" t="str">
        <f aca="false">IF(B348="","",IFERROR(VLOOKUP(B348,Features!$A$2:$C$200,3,FALSE()),""))</f>
        <v/>
      </c>
    </row>
    <row r="349" customFormat="false" ht="15" hidden="false" customHeight="false" outlineLevel="0" collapsed="false">
      <c r="C349" s="45" t="str">
        <f aca="false">IF(B349="","",IFERROR(VLOOKUP(B349,Features!$A$2:$C$200,3,FALSE()),""))</f>
        <v/>
      </c>
    </row>
    <row r="350" customFormat="false" ht="15" hidden="false" customHeight="false" outlineLevel="0" collapsed="false">
      <c r="C350" s="45" t="str">
        <f aca="false">IF(B350="","",IFERROR(VLOOKUP(B350,Features!$A$2:$C$200,3,FALSE()),""))</f>
        <v/>
      </c>
    </row>
    <row r="351" customFormat="false" ht="15" hidden="false" customHeight="false" outlineLevel="0" collapsed="false">
      <c r="C351" s="45" t="str">
        <f aca="false">IF(B351="","",IFERROR(VLOOKUP(B351,Features!$A$2:$C$200,3,FALSE()),""))</f>
        <v/>
      </c>
    </row>
    <row r="352" customFormat="false" ht="15" hidden="false" customHeight="false" outlineLevel="0" collapsed="false">
      <c r="C352" s="45" t="str">
        <f aca="false">IF(B352="","",IFERROR(VLOOKUP(B352,Features!$A$2:$C$200,3,FALSE()),""))</f>
        <v/>
      </c>
    </row>
    <row r="353" customFormat="false" ht="15" hidden="false" customHeight="false" outlineLevel="0" collapsed="false">
      <c r="C353" s="45" t="str">
        <f aca="false">IF(B353="","",IFERROR(VLOOKUP(B353,Features!$A$2:$C$200,3,FALSE()),""))</f>
        <v/>
      </c>
    </row>
    <row r="354" customFormat="false" ht="15" hidden="false" customHeight="false" outlineLevel="0" collapsed="false">
      <c r="C354" s="45" t="str">
        <f aca="false">IF(B354="","",IFERROR(VLOOKUP(B354,Features!$A$2:$C$200,3,FALSE()),""))</f>
        <v/>
      </c>
    </row>
    <row r="355" customFormat="false" ht="15" hidden="false" customHeight="false" outlineLevel="0" collapsed="false">
      <c r="C355" s="45" t="str">
        <f aca="false">IF(B355="","",IFERROR(VLOOKUP(B355,Features!$A$2:$C$200,3,FALSE()),""))</f>
        <v/>
      </c>
    </row>
    <row r="356" customFormat="false" ht="15" hidden="false" customHeight="false" outlineLevel="0" collapsed="false">
      <c r="C356" s="45" t="str">
        <f aca="false">IF(B356="","",IFERROR(VLOOKUP(B356,Features!$A$2:$C$200,3,FALSE()),""))</f>
        <v/>
      </c>
    </row>
    <row r="357" customFormat="false" ht="15" hidden="false" customHeight="false" outlineLevel="0" collapsed="false">
      <c r="C357" s="45" t="str">
        <f aca="false">IF(B357="","",IFERROR(VLOOKUP(B357,Features!$A$2:$C$200,3,FALSE()),""))</f>
        <v/>
      </c>
    </row>
    <row r="358" customFormat="false" ht="15" hidden="false" customHeight="false" outlineLevel="0" collapsed="false">
      <c r="C358" s="45" t="str">
        <f aca="false">IF(B358="","",IFERROR(VLOOKUP(B358,Features!$A$2:$C$200,3,FALSE()),""))</f>
        <v/>
      </c>
    </row>
    <row r="359" customFormat="false" ht="15" hidden="false" customHeight="false" outlineLevel="0" collapsed="false">
      <c r="C359" s="45" t="str">
        <f aca="false">IF(B359="","",IFERROR(VLOOKUP(B359,Features!$A$2:$C$200,3,FALSE()),""))</f>
        <v/>
      </c>
    </row>
    <row r="360" customFormat="false" ht="15" hidden="false" customHeight="false" outlineLevel="0" collapsed="false">
      <c r="C360" s="45" t="str">
        <f aca="false">IF(B360="","",IFERROR(VLOOKUP(B360,Features!$A$2:$C$200,3,FALSE()),""))</f>
        <v/>
      </c>
    </row>
    <row r="361" customFormat="false" ht="15" hidden="false" customHeight="false" outlineLevel="0" collapsed="false">
      <c r="C361" s="45" t="str">
        <f aca="false">IF(B361="","",IFERROR(VLOOKUP(B361,Features!$A$2:$C$200,3,FALSE()),""))</f>
        <v/>
      </c>
    </row>
    <row r="362" customFormat="false" ht="15" hidden="false" customHeight="false" outlineLevel="0" collapsed="false">
      <c r="C362" s="45" t="str">
        <f aca="false">IF(B362="","",IFERROR(VLOOKUP(B362,Features!$A$2:$C$200,3,FALSE()),""))</f>
        <v/>
      </c>
    </row>
    <row r="363" customFormat="false" ht="15" hidden="false" customHeight="false" outlineLevel="0" collapsed="false">
      <c r="C363" s="45" t="str">
        <f aca="false">IF(B363="","",IFERROR(VLOOKUP(B363,Features!$A$2:$C$200,3,FALSE()),""))</f>
        <v/>
      </c>
    </row>
    <row r="364" customFormat="false" ht="15" hidden="false" customHeight="false" outlineLevel="0" collapsed="false">
      <c r="C364" s="45" t="str">
        <f aca="false">IF(B364="","",IFERROR(VLOOKUP(B364,Features!$A$2:$C$200,3,FALSE()),""))</f>
        <v/>
      </c>
    </row>
    <row r="365" customFormat="false" ht="15" hidden="false" customHeight="false" outlineLevel="0" collapsed="false">
      <c r="C365" s="45" t="str">
        <f aca="false">IF(B365="","",IFERROR(VLOOKUP(B365,Features!$A$2:$C$200,3,FALSE()),""))</f>
        <v/>
      </c>
    </row>
    <row r="366" customFormat="false" ht="15" hidden="false" customHeight="false" outlineLevel="0" collapsed="false">
      <c r="C366" s="45" t="str">
        <f aca="false">IF(B366="","",IFERROR(VLOOKUP(B366,Features!$A$2:$C$200,3,FALSE()),""))</f>
        <v/>
      </c>
    </row>
    <row r="367" customFormat="false" ht="15" hidden="false" customHeight="false" outlineLevel="0" collapsed="false">
      <c r="C367" s="45" t="str">
        <f aca="false">IF(B367="","",IFERROR(VLOOKUP(B367,Features!$A$2:$C$200,3,FALSE()),""))</f>
        <v/>
      </c>
    </row>
    <row r="368" customFormat="false" ht="15" hidden="false" customHeight="false" outlineLevel="0" collapsed="false">
      <c r="C368" s="45" t="str">
        <f aca="false">IF(B368="","",IFERROR(VLOOKUP(B368,Features!$A$2:$C$200,3,FALSE()),""))</f>
        <v/>
      </c>
    </row>
    <row r="369" customFormat="false" ht="15" hidden="false" customHeight="false" outlineLevel="0" collapsed="false">
      <c r="C369" s="45" t="str">
        <f aca="false">IF(B369="","",IFERROR(VLOOKUP(B369,Features!$A$2:$C$200,3,FALSE()),""))</f>
        <v/>
      </c>
    </row>
    <row r="370" customFormat="false" ht="15" hidden="false" customHeight="false" outlineLevel="0" collapsed="false">
      <c r="C370" s="45" t="str">
        <f aca="false">IF(B370="","",IFERROR(VLOOKUP(B370,Features!$A$2:$C$200,3,FALSE()),""))</f>
        <v/>
      </c>
    </row>
    <row r="371" customFormat="false" ht="15" hidden="false" customHeight="false" outlineLevel="0" collapsed="false">
      <c r="C371" s="45" t="str">
        <f aca="false">IF(B371="","",IFERROR(VLOOKUP(B371,Features!$A$2:$C$200,3,FALSE()),""))</f>
        <v/>
      </c>
    </row>
    <row r="372" customFormat="false" ht="15" hidden="false" customHeight="false" outlineLevel="0" collapsed="false">
      <c r="C372" s="45" t="str">
        <f aca="false">IF(B372="","",IFERROR(VLOOKUP(B372,Features!$A$2:$C$200,3,FALSE()),""))</f>
        <v/>
      </c>
    </row>
    <row r="373" customFormat="false" ht="15" hidden="false" customHeight="false" outlineLevel="0" collapsed="false">
      <c r="C373" s="45" t="str">
        <f aca="false">IF(B373="","",IFERROR(VLOOKUP(B373,Features!$A$2:$C$200,3,FALSE()),""))</f>
        <v/>
      </c>
    </row>
    <row r="374" customFormat="false" ht="15" hidden="false" customHeight="false" outlineLevel="0" collapsed="false">
      <c r="C374" s="45" t="str">
        <f aca="false">IF(B374="","",IFERROR(VLOOKUP(B374,Features!$A$2:$C$200,3,FALSE()),""))</f>
        <v/>
      </c>
    </row>
    <row r="375" customFormat="false" ht="15" hidden="false" customHeight="false" outlineLevel="0" collapsed="false">
      <c r="C375" s="45" t="str">
        <f aca="false">IF(B375="","",IFERROR(VLOOKUP(B375,Features!$A$2:$C$200,3,FALSE()),""))</f>
        <v/>
      </c>
    </row>
    <row r="376" customFormat="false" ht="15" hidden="false" customHeight="false" outlineLevel="0" collapsed="false">
      <c r="C376" s="45" t="str">
        <f aca="false">IF(B376="","",IFERROR(VLOOKUP(B376,Features!$A$2:$C$200,3,FALSE()),""))</f>
        <v/>
      </c>
    </row>
    <row r="377" customFormat="false" ht="15" hidden="false" customHeight="false" outlineLevel="0" collapsed="false">
      <c r="C377" s="45" t="str">
        <f aca="false">IF(B377="","",IFERROR(VLOOKUP(B377,Features!$A$2:$C$200,3,FALSE()),""))</f>
        <v/>
      </c>
    </row>
    <row r="378" customFormat="false" ht="15" hidden="false" customHeight="false" outlineLevel="0" collapsed="false">
      <c r="C378" s="45" t="str">
        <f aca="false">IF(B378="","",IFERROR(VLOOKUP(B378,Features!$A$2:$C$200,3,FALSE()),""))</f>
        <v/>
      </c>
    </row>
    <row r="379" customFormat="false" ht="15" hidden="false" customHeight="false" outlineLevel="0" collapsed="false">
      <c r="C379" s="45" t="str">
        <f aca="false">IF(B379="","",IFERROR(VLOOKUP(B379,Features!$A$2:$C$200,3,FALSE()),""))</f>
        <v/>
      </c>
    </row>
    <row r="380" customFormat="false" ht="15" hidden="false" customHeight="false" outlineLevel="0" collapsed="false">
      <c r="C380" s="45" t="str">
        <f aca="false">IF(B380="","",IFERROR(VLOOKUP(B380,Features!$A$2:$C$200,3,FALSE()),""))</f>
        <v/>
      </c>
    </row>
    <row r="381" customFormat="false" ht="15" hidden="false" customHeight="false" outlineLevel="0" collapsed="false">
      <c r="C381" s="45" t="str">
        <f aca="false">IF(B381="","",IFERROR(VLOOKUP(B381,Features!$A$2:$C$200,3,FALSE()),""))</f>
        <v/>
      </c>
    </row>
    <row r="382" customFormat="false" ht="15" hidden="false" customHeight="false" outlineLevel="0" collapsed="false">
      <c r="C382" s="45" t="str">
        <f aca="false">IF(B382="","",IFERROR(VLOOKUP(B382,Features!$A$2:$C$200,3,FALSE()),""))</f>
        <v/>
      </c>
    </row>
    <row r="383" customFormat="false" ht="15" hidden="false" customHeight="false" outlineLevel="0" collapsed="false">
      <c r="C383" s="45" t="str">
        <f aca="false">IF(B383="","",IFERROR(VLOOKUP(B383,Features!$A$2:$C$200,3,FALSE()),""))</f>
        <v/>
      </c>
    </row>
    <row r="384" customFormat="false" ht="15" hidden="false" customHeight="false" outlineLevel="0" collapsed="false">
      <c r="C384" s="45" t="str">
        <f aca="false">IF(B384="","",IFERROR(VLOOKUP(B384,Features!$A$2:$C$200,3,FALSE()),""))</f>
        <v/>
      </c>
    </row>
    <row r="385" customFormat="false" ht="15" hidden="false" customHeight="false" outlineLevel="0" collapsed="false">
      <c r="C385" s="45" t="str">
        <f aca="false">IF(B385="","",IFERROR(VLOOKUP(B385,Features!$A$2:$C$200,3,FALSE()),""))</f>
        <v/>
      </c>
    </row>
    <row r="386" customFormat="false" ht="15" hidden="false" customHeight="false" outlineLevel="0" collapsed="false">
      <c r="C386" s="45" t="str">
        <f aca="false">IF(B386="","",IFERROR(VLOOKUP(B386,Features!$A$2:$C$200,3,FALSE()),""))</f>
        <v/>
      </c>
    </row>
    <row r="387" customFormat="false" ht="15" hidden="false" customHeight="false" outlineLevel="0" collapsed="false">
      <c r="C387" s="45" t="str">
        <f aca="false">IF(B387="","",IFERROR(VLOOKUP(B387,Features!$A$2:$C$200,3,FALSE()),""))</f>
        <v/>
      </c>
    </row>
    <row r="388" customFormat="false" ht="15" hidden="false" customHeight="false" outlineLevel="0" collapsed="false">
      <c r="C388" s="45" t="str">
        <f aca="false">IF(B388="","",IFERROR(VLOOKUP(B388,Features!$A$2:$C$200,3,FALSE()),""))</f>
        <v/>
      </c>
    </row>
    <row r="389" customFormat="false" ht="15" hidden="false" customHeight="false" outlineLevel="0" collapsed="false">
      <c r="C389" s="45" t="str">
        <f aca="false">IF(B389="","",IFERROR(VLOOKUP(B389,Features!$A$2:$C$200,3,FALSE()),""))</f>
        <v/>
      </c>
    </row>
    <row r="390" customFormat="false" ht="15" hidden="false" customHeight="false" outlineLevel="0" collapsed="false">
      <c r="C390" s="45" t="str">
        <f aca="false">IF(B390="","",IFERROR(VLOOKUP(B390,Features!$A$2:$C$200,3,FALSE()),""))</f>
        <v/>
      </c>
    </row>
    <row r="391" customFormat="false" ht="15" hidden="false" customHeight="false" outlineLevel="0" collapsed="false">
      <c r="C391" s="45" t="str">
        <f aca="false">IF(B391="","",IFERROR(VLOOKUP(B391,Features!$A$2:$C$200,3,FALSE()),""))</f>
        <v/>
      </c>
    </row>
    <row r="392" customFormat="false" ht="15" hidden="false" customHeight="false" outlineLevel="0" collapsed="false">
      <c r="C392" s="45" t="str">
        <f aca="false">IF(B392="","",IFERROR(VLOOKUP(B392,Features!$A$2:$C$200,3,FALSE()),""))</f>
        <v/>
      </c>
    </row>
    <row r="393" customFormat="false" ht="15" hidden="false" customHeight="false" outlineLevel="0" collapsed="false">
      <c r="C393" s="45" t="str">
        <f aca="false">IF(B393="","",IFERROR(VLOOKUP(B393,Features!$A$2:$C$200,3,FALSE()),""))</f>
        <v/>
      </c>
    </row>
    <row r="394" customFormat="false" ht="15" hidden="false" customHeight="false" outlineLevel="0" collapsed="false">
      <c r="C394" s="45" t="str">
        <f aca="false">IF(B394="","",IFERROR(VLOOKUP(B394,Features!$A$2:$C$200,3,FALSE()),""))</f>
        <v/>
      </c>
    </row>
    <row r="395" customFormat="false" ht="15" hidden="false" customHeight="false" outlineLevel="0" collapsed="false">
      <c r="C395" s="45" t="str">
        <f aca="false">IF(B395="","",IFERROR(VLOOKUP(B395,Features!$A$2:$C$200,3,FALSE()),""))</f>
        <v/>
      </c>
    </row>
    <row r="396" customFormat="false" ht="15" hidden="false" customHeight="false" outlineLevel="0" collapsed="false">
      <c r="C396" s="45" t="str">
        <f aca="false">IF(B396="","",IFERROR(VLOOKUP(B396,Features!$A$2:$C$200,3,FALSE()),""))</f>
        <v/>
      </c>
    </row>
    <row r="397" customFormat="false" ht="15" hidden="false" customHeight="false" outlineLevel="0" collapsed="false">
      <c r="C397" s="45" t="str">
        <f aca="false">IF(B397="","",IFERROR(VLOOKUP(B397,Features!$A$2:$C$200,3,FALSE()),""))</f>
        <v/>
      </c>
    </row>
    <row r="398" customFormat="false" ht="15" hidden="false" customHeight="false" outlineLevel="0" collapsed="false">
      <c r="C398" s="45" t="str">
        <f aca="false">IF(B398="","",IFERROR(VLOOKUP(B398,Features!$A$2:$C$200,3,FALSE()),""))</f>
        <v/>
      </c>
    </row>
    <row r="399" customFormat="false" ht="15" hidden="false" customHeight="false" outlineLevel="0" collapsed="false">
      <c r="C399" s="45" t="str">
        <f aca="false">IF(B399="","",IFERROR(VLOOKUP(B399,Features!$A$2:$C$200,3,FALSE()),""))</f>
        <v/>
      </c>
    </row>
    <row r="400" customFormat="false" ht="15" hidden="false" customHeight="false" outlineLevel="0" collapsed="false">
      <c r="C400" s="45" t="str">
        <f aca="false">IF(B400="","",IFERROR(VLOOKUP(B400,Features!$A$2:$C$200,3,FALSE()),""))</f>
        <v/>
      </c>
    </row>
    <row r="401" customFormat="false" ht="15" hidden="false" customHeight="false" outlineLevel="0" collapsed="false">
      <c r="C401" s="45" t="str">
        <f aca="false">IF(B401="","",IFERROR(VLOOKUP(B401,Features!$A$2:$C$200,3,FALSE()),""))</f>
        <v/>
      </c>
    </row>
    <row r="402" customFormat="false" ht="15" hidden="false" customHeight="false" outlineLevel="0" collapsed="false">
      <c r="C402" s="45" t="str">
        <f aca="false">IF(B402="","",IFERROR(VLOOKUP(B402,Features!$A$2:$C$200,3,FALSE()),""))</f>
        <v/>
      </c>
    </row>
    <row r="403" customFormat="false" ht="15" hidden="false" customHeight="false" outlineLevel="0" collapsed="false">
      <c r="C403" s="45" t="str">
        <f aca="false">IF(B403="","",IFERROR(VLOOKUP(B403,Features!$A$2:$C$200,3,FALSE()),""))</f>
        <v/>
      </c>
    </row>
    <row r="404" customFormat="false" ht="15" hidden="false" customHeight="false" outlineLevel="0" collapsed="false">
      <c r="C404" s="45" t="str">
        <f aca="false">IF(B404="","",IFERROR(VLOOKUP(B404,Features!$A$2:$C$200,3,FALSE()),""))</f>
        <v/>
      </c>
    </row>
    <row r="405" customFormat="false" ht="15" hidden="false" customHeight="false" outlineLevel="0" collapsed="false">
      <c r="C405" s="45" t="str">
        <f aca="false">IF(B405="","",IFERROR(VLOOKUP(B405,Features!$A$2:$C$200,3,FALSE()),""))</f>
        <v/>
      </c>
    </row>
    <row r="406" customFormat="false" ht="15" hidden="false" customHeight="false" outlineLevel="0" collapsed="false">
      <c r="C406" s="45" t="str">
        <f aca="false">IF(B406="","",IFERROR(VLOOKUP(B406,Features!$A$2:$C$200,3,FALSE()),""))</f>
        <v/>
      </c>
    </row>
    <row r="407" customFormat="false" ht="15" hidden="false" customHeight="false" outlineLevel="0" collapsed="false">
      <c r="C407" s="45" t="str">
        <f aca="false">IF(B407="","",IFERROR(VLOOKUP(B407,Features!$A$2:$C$200,3,FALSE()),""))</f>
        <v/>
      </c>
    </row>
    <row r="408" customFormat="false" ht="15" hidden="false" customHeight="false" outlineLevel="0" collapsed="false">
      <c r="C408" s="45" t="str">
        <f aca="false">IF(B408="","",IFERROR(VLOOKUP(B408,Features!$A$2:$C$200,3,FALSE()),""))</f>
        <v/>
      </c>
    </row>
    <row r="409" customFormat="false" ht="15" hidden="false" customHeight="false" outlineLevel="0" collapsed="false">
      <c r="C409" s="45" t="str">
        <f aca="false">IF(B409="","",IFERROR(VLOOKUP(B409,Features!$A$2:$C$200,3,FALSE()),""))</f>
        <v/>
      </c>
    </row>
    <row r="410" customFormat="false" ht="15" hidden="false" customHeight="false" outlineLevel="0" collapsed="false">
      <c r="C410" s="45" t="str">
        <f aca="false">IF(B410="","",IFERROR(VLOOKUP(B410,Features!$A$2:$C$200,3,FALSE()),""))</f>
        <v/>
      </c>
    </row>
    <row r="411" customFormat="false" ht="15" hidden="false" customHeight="false" outlineLevel="0" collapsed="false">
      <c r="C411" s="45" t="str">
        <f aca="false">IF(B411="","",IFERROR(VLOOKUP(B411,Features!$A$2:$C$200,3,FALSE()),""))</f>
        <v/>
      </c>
    </row>
    <row r="412" customFormat="false" ht="15" hidden="false" customHeight="false" outlineLevel="0" collapsed="false">
      <c r="C412" s="45" t="str">
        <f aca="false">IF(B412="","",IFERROR(VLOOKUP(B412,Features!$A$2:$C$200,3,FALSE()),""))</f>
        <v/>
      </c>
    </row>
    <row r="413" customFormat="false" ht="15" hidden="false" customHeight="false" outlineLevel="0" collapsed="false">
      <c r="C413" s="45" t="str">
        <f aca="false">IF(B413="","",IFERROR(VLOOKUP(B413,Features!$A$2:$C$200,3,FALSE()),""))</f>
        <v/>
      </c>
    </row>
    <row r="414" customFormat="false" ht="15" hidden="false" customHeight="false" outlineLevel="0" collapsed="false">
      <c r="C414" s="45" t="str">
        <f aca="false">IF(B414="","",IFERROR(VLOOKUP(B414,Features!$A$2:$C$200,3,FALSE()),""))</f>
        <v/>
      </c>
    </row>
    <row r="415" customFormat="false" ht="15" hidden="false" customHeight="false" outlineLevel="0" collapsed="false">
      <c r="C415" s="45" t="str">
        <f aca="false">IF(B415="","",IFERROR(VLOOKUP(B415,Features!$A$2:$C$200,3,FALSE()),""))</f>
        <v/>
      </c>
    </row>
    <row r="416" customFormat="false" ht="15" hidden="false" customHeight="false" outlineLevel="0" collapsed="false">
      <c r="C416" s="45" t="str">
        <f aca="false">IF(B416="","",IFERROR(VLOOKUP(B416,Features!$A$2:$C$200,3,FALSE()),""))</f>
        <v/>
      </c>
    </row>
    <row r="417" customFormat="false" ht="15" hidden="false" customHeight="false" outlineLevel="0" collapsed="false">
      <c r="C417" s="45" t="str">
        <f aca="false">IF(B417="","",IFERROR(VLOOKUP(B417,Features!$A$2:$C$200,3,FALSE()),""))</f>
        <v/>
      </c>
    </row>
    <row r="418" customFormat="false" ht="15" hidden="false" customHeight="false" outlineLevel="0" collapsed="false">
      <c r="C418" s="45" t="str">
        <f aca="false">IF(B418="","",IFERROR(VLOOKUP(B418,Features!$A$2:$C$200,3,FALSE()),""))</f>
        <v/>
      </c>
    </row>
    <row r="419" customFormat="false" ht="15" hidden="false" customHeight="false" outlineLevel="0" collapsed="false">
      <c r="C419" s="45" t="str">
        <f aca="false">IF(B419="","",IFERROR(VLOOKUP(B419,Features!$A$2:$C$200,3,FALSE()),""))</f>
        <v/>
      </c>
    </row>
    <row r="420" customFormat="false" ht="15" hidden="false" customHeight="false" outlineLevel="0" collapsed="false">
      <c r="C420" s="45" t="str">
        <f aca="false">IF(B420="","",IFERROR(VLOOKUP(B420,Features!$A$2:$C$200,3,FALSE()),""))</f>
        <v/>
      </c>
    </row>
    <row r="421" customFormat="false" ht="15" hidden="false" customHeight="false" outlineLevel="0" collapsed="false">
      <c r="C421" s="45" t="str">
        <f aca="false">IF(B421="","",IFERROR(VLOOKUP(B421,Features!$A$2:$C$200,3,FALSE()),""))</f>
        <v/>
      </c>
    </row>
    <row r="422" customFormat="false" ht="15" hidden="false" customHeight="false" outlineLevel="0" collapsed="false">
      <c r="C422" s="45" t="str">
        <f aca="false">IF(B422="","",IFERROR(VLOOKUP(B422,Features!$A$2:$C$200,3,FALSE()),""))</f>
        <v/>
      </c>
    </row>
    <row r="423" customFormat="false" ht="15" hidden="false" customHeight="false" outlineLevel="0" collapsed="false">
      <c r="C423" s="45" t="str">
        <f aca="false">IF(B423="","",IFERROR(VLOOKUP(B423,Features!$A$2:$C$200,3,FALSE()),""))</f>
        <v/>
      </c>
    </row>
    <row r="424" customFormat="false" ht="15" hidden="false" customHeight="false" outlineLevel="0" collapsed="false">
      <c r="C424" s="45" t="str">
        <f aca="false">IF(B424="","",IFERROR(VLOOKUP(B424,Features!$A$2:$C$200,3,FALSE()),""))</f>
        <v/>
      </c>
    </row>
    <row r="425" customFormat="false" ht="15" hidden="false" customHeight="false" outlineLevel="0" collapsed="false">
      <c r="C425" s="45" t="str">
        <f aca="false">IF(B425="","",IFERROR(VLOOKUP(B425,Features!$A$2:$C$200,3,FALSE()),""))</f>
        <v/>
      </c>
    </row>
    <row r="426" customFormat="false" ht="15" hidden="false" customHeight="false" outlineLevel="0" collapsed="false">
      <c r="C426" s="45" t="str">
        <f aca="false">IF(B426="","",IFERROR(VLOOKUP(B426,Features!$A$2:$C$200,3,FALSE()),""))</f>
        <v/>
      </c>
    </row>
    <row r="427" customFormat="false" ht="15" hidden="false" customHeight="false" outlineLevel="0" collapsed="false">
      <c r="C427" s="45" t="str">
        <f aca="false">IF(B427="","",IFERROR(VLOOKUP(B427,Features!$A$2:$C$200,3,FALSE()),""))</f>
        <v/>
      </c>
    </row>
    <row r="428" customFormat="false" ht="15" hidden="false" customHeight="false" outlineLevel="0" collapsed="false">
      <c r="C428" s="45" t="str">
        <f aca="false">IF(B428="","",IFERROR(VLOOKUP(B428,Features!$A$2:$C$200,3,FALSE()),""))</f>
        <v/>
      </c>
    </row>
    <row r="429" customFormat="false" ht="15" hidden="false" customHeight="false" outlineLevel="0" collapsed="false">
      <c r="C429" s="45" t="str">
        <f aca="false">IF(B429="","",IFERROR(VLOOKUP(B429,Features!$A$2:$C$200,3,FALSE()),""))</f>
        <v/>
      </c>
    </row>
    <row r="430" customFormat="false" ht="15" hidden="false" customHeight="false" outlineLevel="0" collapsed="false">
      <c r="C430" s="45" t="str">
        <f aca="false">IF(B430="","",IFERROR(VLOOKUP(B430,Features!$A$2:$C$200,3,FALSE()),""))</f>
        <v/>
      </c>
    </row>
    <row r="431" customFormat="false" ht="15" hidden="false" customHeight="false" outlineLevel="0" collapsed="false">
      <c r="C431" s="45" t="str">
        <f aca="false">IF(B431="","",IFERROR(VLOOKUP(B431,Features!$A$2:$C$200,3,FALSE()),""))</f>
        <v/>
      </c>
    </row>
    <row r="432" customFormat="false" ht="15" hidden="false" customHeight="false" outlineLevel="0" collapsed="false">
      <c r="C432" s="45" t="str">
        <f aca="false">IF(B432="","",IFERROR(VLOOKUP(B432,Features!$A$2:$C$200,3,FALSE()),""))</f>
        <v/>
      </c>
    </row>
    <row r="433" customFormat="false" ht="15" hidden="false" customHeight="false" outlineLevel="0" collapsed="false">
      <c r="C433" s="45" t="str">
        <f aca="false">IF(B433="","",IFERROR(VLOOKUP(B433,Features!$A$2:$C$200,3,FALSE()),""))</f>
        <v/>
      </c>
    </row>
    <row r="434" customFormat="false" ht="15" hidden="false" customHeight="false" outlineLevel="0" collapsed="false">
      <c r="C434" s="45" t="str">
        <f aca="false">IF(B434="","",IFERROR(VLOOKUP(B434,Features!$A$2:$C$200,3,FALSE()),""))</f>
        <v/>
      </c>
    </row>
    <row r="435" customFormat="false" ht="15" hidden="false" customHeight="false" outlineLevel="0" collapsed="false">
      <c r="C435" s="45" t="str">
        <f aca="false">IF(B435="","",IFERROR(VLOOKUP(B435,Features!$A$2:$C$200,3,FALSE()),""))</f>
        <v/>
      </c>
    </row>
    <row r="436" customFormat="false" ht="15" hidden="false" customHeight="false" outlineLevel="0" collapsed="false">
      <c r="C436" s="45" t="str">
        <f aca="false">IF(B436="","",IFERROR(VLOOKUP(B436,Features!$A$2:$C$200,3,FALSE()),""))</f>
        <v/>
      </c>
    </row>
    <row r="437" customFormat="false" ht="15" hidden="false" customHeight="false" outlineLevel="0" collapsed="false">
      <c r="C437" s="45" t="str">
        <f aca="false">IF(B437="","",IFERROR(VLOOKUP(B437,Features!$A$2:$C$200,3,FALSE()),""))</f>
        <v/>
      </c>
    </row>
    <row r="438" customFormat="false" ht="15" hidden="false" customHeight="false" outlineLevel="0" collapsed="false">
      <c r="C438" s="45" t="str">
        <f aca="false">IF(B438="","",IFERROR(VLOOKUP(B438,Features!$A$2:$C$200,3,FALSE()),""))</f>
        <v/>
      </c>
    </row>
    <row r="439" customFormat="false" ht="15" hidden="false" customHeight="false" outlineLevel="0" collapsed="false">
      <c r="C439" s="45" t="str">
        <f aca="false">IF(B439="","",IFERROR(VLOOKUP(B439,Features!$A$2:$C$200,3,FALSE()),""))</f>
        <v/>
      </c>
    </row>
    <row r="440" customFormat="false" ht="15" hidden="false" customHeight="false" outlineLevel="0" collapsed="false">
      <c r="C440" s="45" t="str">
        <f aca="false">IF(B440="","",IFERROR(VLOOKUP(B440,Features!$A$2:$C$200,3,FALSE()),""))</f>
        <v/>
      </c>
    </row>
    <row r="441" customFormat="false" ht="15" hidden="false" customHeight="false" outlineLevel="0" collapsed="false">
      <c r="C441" s="45" t="str">
        <f aca="false">IF(B441="","",IFERROR(VLOOKUP(B441,Features!$A$2:$C$200,3,FALSE()),""))</f>
        <v/>
      </c>
    </row>
    <row r="442" customFormat="false" ht="15" hidden="false" customHeight="false" outlineLevel="0" collapsed="false">
      <c r="C442" s="45" t="str">
        <f aca="false">IF(B442="","",IFERROR(VLOOKUP(B442,Features!$A$2:$C$200,3,FALSE()),""))</f>
        <v/>
      </c>
    </row>
    <row r="443" customFormat="false" ht="15" hidden="false" customHeight="false" outlineLevel="0" collapsed="false">
      <c r="C443" s="45" t="str">
        <f aca="false">IF(B443="","",IFERROR(VLOOKUP(B443,Features!$A$2:$C$200,3,FALSE()),""))</f>
        <v/>
      </c>
    </row>
    <row r="444" customFormat="false" ht="15" hidden="false" customHeight="false" outlineLevel="0" collapsed="false">
      <c r="C444" s="45" t="str">
        <f aca="false">IF(B444="","",IFERROR(VLOOKUP(B444,Features!$A$2:$C$200,3,FALSE()),""))</f>
        <v/>
      </c>
    </row>
    <row r="445" customFormat="false" ht="15" hidden="false" customHeight="false" outlineLevel="0" collapsed="false">
      <c r="C445" s="45" t="str">
        <f aca="false">IF(B445="","",IFERROR(VLOOKUP(B445,Features!$A$2:$C$200,3,FALSE()),""))</f>
        <v/>
      </c>
    </row>
    <row r="446" customFormat="false" ht="15" hidden="false" customHeight="false" outlineLevel="0" collapsed="false">
      <c r="C446" s="45" t="str">
        <f aca="false">IF(B446="","",IFERROR(VLOOKUP(B446,Features!$A$2:$C$200,3,FALSE()),""))</f>
        <v/>
      </c>
    </row>
    <row r="447" customFormat="false" ht="15" hidden="false" customHeight="false" outlineLevel="0" collapsed="false">
      <c r="C447" s="45" t="str">
        <f aca="false">IF(B447="","",IFERROR(VLOOKUP(B447,Features!$A$2:$C$200,3,FALSE()),""))</f>
        <v/>
      </c>
    </row>
    <row r="448" customFormat="false" ht="15" hidden="false" customHeight="false" outlineLevel="0" collapsed="false">
      <c r="C448" s="45" t="str">
        <f aca="false">IF(B448="","",IFERROR(VLOOKUP(B448,Features!$A$2:$C$200,3,FALSE()),""))</f>
        <v/>
      </c>
    </row>
    <row r="449" customFormat="false" ht="15" hidden="false" customHeight="false" outlineLevel="0" collapsed="false">
      <c r="C449" s="45" t="str">
        <f aca="false">IF(B449="","",IFERROR(VLOOKUP(B449,Features!$A$2:$C$200,3,FALSE()),""))</f>
        <v/>
      </c>
    </row>
    <row r="450" customFormat="false" ht="15" hidden="false" customHeight="false" outlineLevel="0" collapsed="false">
      <c r="C450" s="45" t="str">
        <f aca="false">IF(B450="","",IFERROR(VLOOKUP(B450,Features!$A$2:$C$200,3,FALSE()),""))</f>
        <v/>
      </c>
    </row>
    <row r="451" customFormat="false" ht="15" hidden="false" customHeight="false" outlineLevel="0" collapsed="false">
      <c r="C451" s="45" t="str">
        <f aca="false">IF(B451="","",IFERROR(VLOOKUP(B451,Features!$A$2:$C$200,3,FALSE()),""))</f>
        <v/>
      </c>
    </row>
    <row r="452" customFormat="false" ht="15" hidden="false" customHeight="false" outlineLevel="0" collapsed="false">
      <c r="C452" s="45" t="str">
        <f aca="false">IF(B452="","",IFERROR(VLOOKUP(B452,Features!$A$2:$C$200,3,FALSE()),""))</f>
        <v/>
      </c>
    </row>
    <row r="453" customFormat="false" ht="15" hidden="false" customHeight="false" outlineLevel="0" collapsed="false">
      <c r="C453" s="45" t="str">
        <f aca="false">IF(B453="","",IFERROR(VLOOKUP(B453,Features!$A$2:$C$200,3,FALSE()),""))</f>
        <v/>
      </c>
    </row>
    <row r="454" customFormat="false" ht="15" hidden="false" customHeight="false" outlineLevel="0" collapsed="false">
      <c r="C454" s="45" t="str">
        <f aca="false">IF(B454="","",IFERROR(VLOOKUP(B454,Features!$A$2:$C$200,3,FALSE()),""))</f>
        <v/>
      </c>
    </row>
    <row r="455" customFormat="false" ht="15" hidden="false" customHeight="false" outlineLevel="0" collapsed="false">
      <c r="C455" s="45" t="str">
        <f aca="false">IF(B455="","",IFERROR(VLOOKUP(B455,Features!$A$2:$C$200,3,FALSE()),""))</f>
        <v/>
      </c>
    </row>
    <row r="456" customFormat="false" ht="15" hidden="false" customHeight="false" outlineLevel="0" collapsed="false">
      <c r="C456" s="45" t="str">
        <f aca="false">IF(B456="","",IFERROR(VLOOKUP(B456,Features!$A$2:$C$200,3,FALSE()),""))</f>
        <v/>
      </c>
    </row>
    <row r="457" customFormat="false" ht="15" hidden="false" customHeight="false" outlineLevel="0" collapsed="false">
      <c r="C457" s="45" t="str">
        <f aca="false">IF(B457="","",IFERROR(VLOOKUP(B457,Features!$A$2:$C$200,3,FALSE()),""))</f>
        <v/>
      </c>
    </row>
    <row r="458" customFormat="false" ht="15" hidden="false" customHeight="false" outlineLevel="0" collapsed="false">
      <c r="C458" s="45" t="str">
        <f aca="false">IF(B458="","",IFERROR(VLOOKUP(B458,Features!$A$2:$C$200,3,FALSE()),""))</f>
        <v/>
      </c>
    </row>
    <row r="459" customFormat="false" ht="15" hidden="false" customHeight="false" outlineLevel="0" collapsed="false">
      <c r="C459" s="45" t="str">
        <f aca="false">IF(B459="","",IFERROR(VLOOKUP(B459,Features!$A$2:$C$200,3,FALSE()),""))</f>
        <v/>
      </c>
    </row>
    <row r="460" customFormat="false" ht="15" hidden="false" customHeight="false" outlineLevel="0" collapsed="false">
      <c r="C460" s="45" t="str">
        <f aca="false">IF(B460="","",IFERROR(VLOOKUP(B460,Features!$A$2:$C$200,3,FALSE()),""))</f>
        <v/>
      </c>
    </row>
    <row r="461" customFormat="false" ht="15" hidden="false" customHeight="false" outlineLevel="0" collapsed="false">
      <c r="C461" s="45" t="str">
        <f aca="false">IF(B461="","",IFERROR(VLOOKUP(B461,Features!$A$2:$C$200,3,FALSE()),""))</f>
        <v/>
      </c>
    </row>
    <row r="462" customFormat="false" ht="15" hidden="false" customHeight="false" outlineLevel="0" collapsed="false">
      <c r="C462" s="45" t="str">
        <f aca="false">IF(B462="","",IFERROR(VLOOKUP(B462,Features!$A$2:$C$200,3,FALSE()),""))</f>
        <v/>
      </c>
    </row>
    <row r="463" customFormat="false" ht="15" hidden="false" customHeight="false" outlineLevel="0" collapsed="false">
      <c r="C463" s="45" t="str">
        <f aca="false">IF(B463="","",IFERROR(VLOOKUP(B463,Features!$A$2:$C$200,3,FALSE()),""))</f>
        <v/>
      </c>
    </row>
    <row r="464" customFormat="false" ht="15" hidden="false" customHeight="false" outlineLevel="0" collapsed="false">
      <c r="C464" s="45" t="str">
        <f aca="false">IF(B464="","",IFERROR(VLOOKUP(B464,Features!$A$2:$C$200,3,FALSE()),""))</f>
        <v/>
      </c>
    </row>
    <row r="465" customFormat="false" ht="15" hidden="false" customHeight="false" outlineLevel="0" collapsed="false">
      <c r="C465" s="45" t="str">
        <f aca="false">IF(B465="","",IFERROR(VLOOKUP(B465,Features!$A$2:$C$200,3,FALSE()),""))</f>
        <v/>
      </c>
    </row>
    <row r="466" customFormat="false" ht="15" hidden="false" customHeight="false" outlineLevel="0" collapsed="false">
      <c r="C466" s="45" t="str">
        <f aca="false">IF(B466="","",IFERROR(VLOOKUP(B466,Features!$A$2:$C$200,3,FALSE()),""))</f>
        <v/>
      </c>
    </row>
    <row r="467" customFormat="false" ht="15" hidden="false" customHeight="false" outlineLevel="0" collapsed="false">
      <c r="C467" s="45" t="str">
        <f aca="false">IF(B467="","",IFERROR(VLOOKUP(B467,Features!$A$2:$C$200,3,FALSE()),""))</f>
        <v/>
      </c>
    </row>
    <row r="468" customFormat="false" ht="15" hidden="false" customHeight="false" outlineLevel="0" collapsed="false">
      <c r="C468" s="45" t="str">
        <f aca="false">IF(B468="","",IFERROR(VLOOKUP(B468,Features!$A$2:$C$200,3,FALSE()),""))</f>
        <v/>
      </c>
    </row>
    <row r="469" customFormat="false" ht="15" hidden="false" customHeight="false" outlineLevel="0" collapsed="false">
      <c r="C469" s="45" t="str">
        <f aca="false">IF(B469="","",IFERROR(VLOOKUP(B469,Features!$A$2:$C$200,3,FALSE()),""))</f>
        <v/>
      </c>
    </row>
    <row r="470" customFormat="false" ht="15" hidden="false" customHeight="false" outlineLevel="0" collapsed="false">
      <c r="C470" s="45" t="str">
        <f aca="false">IF(B470="","",IFERROR(VLOOKUP(B470,Features!$A$2:$C$200,3,FALSE()),""))</f>
        <v/>
      </c>
    </row>
    <row r="471" customFormat="false" ht="15" hidden="false" customHeight="false" outlineLevel="0" collapsed="false">
      <c r="C471" s="45" t="str">
        <f aca="false">IF(B471="","",IFERROR(VLOOKUP(B471,Features!$A$2:$C$200,3,FALSE()),""))</f>
        <v/>
      </c>
    </row>
    <row r="472" customFormat="false" ht="15" hidden="false" customHeight="false" outlineLevel="0" collapsed="false">
      <c r="C472" s="45" t="str">
        <f aca="false">IF(B472="","",IFERROR(VLOOKUP(B472,Features!$A$2:$C$200,3,FALSE()),""))</f>
        <v/>
      </c>
    </row>
    <row r="473" customFormat="false" ht="15" hidden="false" customHeight="false" outlineLevel="0" collapsed="false">
      <c r="C473" s="45" t="str">
        <f aca="false">IF(B473="","",IFERROR(VLOOKUP(B473,Features!$A$2:$C$200,3,FALSE()),""))</f>
        <v/>
      </c>
    </row>
    <row r="474" customFormat="false" ht="15" hidden="false" customHeight="false" outlineLevel="0" collapsed="false">
      <c r="C474" s="45" t="str">
        <f aca="false">IF(B474="","",IFERROR(VLOOKUP(B474,Features!$A$2:$C$200,3,FALSE()),""))</f>
        <v/>
      </c>
    </row>
    <row r="475" customFormat="false" ht="15" hidden="false" customHeight="false" outlineLevel="0" collapsed="false">
      <c r="C475" s="45" t="str">
        <f aca="false">IF(B475="","",IFERROR(VLOOKUP(B475,Features!$A$2:$C$200,3,FALSE()),""))</f>
        <v/>
      </c>
    </row>
    <row r="476" customFormat="false" ht="15" hidden="false" customHeight="false" outlineLevel="0" collapsed="false">
      <c r="C476" s="45" t="str">
        <f aca="false">IF(B476="","",IFERROR(VLOOKUP(B476,Features!$A$2:$C$200,3,FALSE()),""))</f>
        <v/>
      </c>
    </row>
    <row r="477" customFormat="false" ht="15" hidden="false" customHeight="false" outlineLevel="0" collapsed="false">
      <c r="C477" s="45" t="str">
        <f aca="false">IF(B477="","",IFERROR(VLOOKUP(B477,Features!$A$2:$C$200,3,FALSE()),""))</f>
        <v/>
      </c>
    </row>
    <row r="478" customFormat="false" ht="15" hidden="false" customHeight="false" outlineLevel="0" collapsed="false">
      <c r="C478" s="45" t="str">
        <f aca="false">IF(B478="","",IFERROR(VLOOKUP(B478,Features!$A$2:$C$200,3,FALSE()),""))</f>
        <v/>
      </c>
    </row>
    <row r="479" customFormat="false" ht="15" hidden="false" customHeight="false" outlineLevel="0" collapsed="false">
      <c r="C479" s="45" t="str">
        <f aca="false">IF(B479="","",IFERROR(VLOOKUP(B479,Features!$A$2:$C$200,3,FALSE()),""))</f>
        <v/>
      </c>
    </row>
    <row r="480" customFormat="false" ht="15" hidden="false" customHeight="false" outlineLevel="0" collapsed="false">
      <c r="C480" s="45" t="str">
        <f aca="false">IF(B480="","",IFERROR(VLOOKUP(B480,Features!$A$2:$C$200,3,FALSE()),""))</f>
        <v/>
      </c>
    </row>
    <row r="481" customFormat="false" ht="15" hidden="false" customHeight="false" outlineLevel="0" collapsed="false">
      <c r="C481" s="45" t="str">
        <f aca="false">IF(B481="","",IFERROR(VLOOKUP(B481,Features!$A$2:$C$200,3,FALSE()),""))</f>
        <v/>
      </c>
    </row>
    <row r="482" customFormat="false" ht="15" hidden="false" customHeight="false" outlineLevel="0" collapsed="false">
      <c r="C482" s="45" t="str">
        <f aca="false">IF(B482="","",IFERROR(VLOOKUP(B482,Features!$A$2:$C$200,3,FALSE()),""))</f>
        <v/>
      </c>
    </row>
    <row r="483" customFormat="false" ht="15" hidden="false" customHeight="false" outlineLevel="0" collapsed="false">
      <c r="C483" s="45" t="str">
        <f aca="false">IF(B483="","",IFERROR(VLOOKUP(B483,Features!$A$2:$C$200,3,FALSE()),""))</f>
        <v/>
      </c>
    </row>
    <row r="484" customFormat="false" ht="15" hidden="false" customHeight="false" outlineLevel="0" collapsed="false">
      <c r="C484" s="45" t="str">
        <f aca="false">IF(B484="","",IFERROR(VLOOKUP(B484,Features!$A$2:$C$200,3,FALSE()),""))</f>
        <v/>
      </c>
    </row>
    <row r="485" customFormat="false" ht="15" hidden="false" customHeight="false" outlineLevel="0" collapsed="false">
      <c r="C485" s="45" t="str">
        <f aca="false">IF(B485="","",IFERROR(VLOOKUP(B485,Features!$A$2:$C$200,3,FALSE()),""))</f>
        <v/>
      </c>
    </row>
    <row r="486" customFormat="false" ht="15" hidden="false" customHeight="false" outlineLevel="0" collapsed="false">
      <c r="C486" s="45" t="str">
        <f aca="false">IF(B486="","",IFERROR(VLOOKUP(B486,Features!$A$2:$C$200,3,FALSE()),""))</f>
        <v/>
      </c>
    </row>
    <row r="487" customFormat="false" ht="15" hidden="false" customHeight="false" outlineLevel="0" collapsed="false">
      <c r="C487" s="45" t="str">
        <f aca="false">IF(B487="","",IFERROR(VLOOKUP(B487,Features!$A$2:$C$200,3,FALSE()),""))</f>
        <v/>
      </c>
    </row>
    <row r="488" customFormat="false" ht="15" hidden="false" customHeight="false" outlineLevel="0" collapsed="false">
      <c r="C488" s="45" t="str">
        <f aca="false">IF(B488="","",IFERROR(VLOOKUP(B488,Features!$A$2:$C$200,3,FALSE()),""))</f>
        <v/>
      </c>
    </row>
    <row r="489" customFormat="false" ht="15" hidden="false" customHeight="false" outlineLevel="0" collapsed="false">
      <c r="C489" s="45" t="str">
        <f aca="false">IF(B489="","",IFERROR(VLOOKUP(B489,Features!$A$2:$C$200,3,FALSE()),""))</f>
        <v/>
      </c>
    </row>
    <row r="490" customFormat="false" ht="15" hidden="false" customHeight="false" outlineLevel="0" collapsed="false">
      <c r="C490" s="45" t="str">
        <f aca="false">IF(B490="","",IFERROR(VLOOKUP(B490,Features!$A$2:$C$200,3,FALSE()),""))</f>
        <v/>
      </c>
    </row>
    <row r="491" customFormat="false" ht="15" hidden="false" customHeight="false" outlineLevel="0" collapsed="false">
      <c r="C491" s="45" t="str">
        <f aca="false">IF(B491="","",IFERROR(VLOOKUP(B491,Features!$A$2:$C$200,3,FALSE()),""))</f>
        <v/>
      </c>
    </row>
    <row r="492" customFormat="false" ht="15" hidden="false" customHeight="false" outlineLevel="0" collapsed="false">
      <c r="C492" s="45" t="str">
        <f aca="false">IF(B492="","",IFERROR(VLOOKUP(B492,Features!$A$2:$C$200,3,FALSE()),""))</f>
        <v/>
      </c>
    </row>
    <row r="493" customFormat="false" ht="15" hidden="false" customHeight="false" outlineLevel="0" collapsed="false">
      <c r="C493" s="45" t="str">
        <f aca="false">IF(B493="","",IFERROR(VLOOKUP(B493,Features!$A$2:$C$200,3,FALSE()),""))</f>
        <v/>
      </c>
    </row>
    <row r="494" customFormat="false" ht="15" hidden="false" customHeight="false" outlineLevel="0" collapsed="false">
      <c r="C494" s="45" t="str">
        <f aca="false">IF(B494="","",IFERROR(VLOOKUP(B494,Features!$A$2:$C$200,3,FALSE()),""))</f>
        <v/>
      </c>
    </row>
    <row r="495" customFormat="false" ht="15" hidden="false" customHeight="false" outlineLevel="0" collapsed="false">
      <c r="C495" s="45" t="str">
        <f aca="false">IF(B495="","",IFERROR(VLOOKUP(B495,Features!$A$2:$C$200,3,FALSE()),""))</f>
        <v/>
      </c>
    </row>
    <row r="496" customFormat="false" ht="15" hidden="false" customHeight="false" outlineLevel="0" collapsed="false">
      <c r="C496" s="45" t="str">
        <f aca="false">IF(B496="","",IFERROR(VLOOKUP(B496,Features!$A$2:$C$200,3,FALSE()),""))</f>
        <v/>
      </c>
    </row>
    <row r="497" customFormat="false" ht="15" hidden="false" customHeight="false" outlineLevel="0" collapsed="false">
      <c r="C497" s="45" t="str">
        <f aca="false">IF(B497="","",IFERROR(VLOOKUP(B497,Features!$A$2:$C$200,3,FALSE()),""))</f>
        <v/>
      </c>
    </row>
    <row r="498" customFormat="false" ht="15" hidden="false" customHeight="false" outlineLevel="0" collapsed="false">
      <c r="C498" s="45" t="str">
        <f aca="false">IF(B498="","",IFERROR(VLOOKUP(B498,Features!$A$2:$C$200,3,FALSE()),""))</f>
        <v/>
      </c>
    </row>
    <row r="499" customFormat="false" ht="15" hidden="false" customHeight="false" outlineLevel="0" collapsed="false">
      <c r="C499" s="45" t="str">
        <f aca="false">IF(B499="","",IFERROR(VLOOKUP(B499,Features!$A$2:$C$200,3,FALSE()),""))</f>
        <v/>
      </c>
    </row>
    <row r="500" customFormat="false" ht="15" hidden="false" customHeight="false" outlineLevel="0" collapsed="false">
      <c r="C500" s="45" t="str">
        <f aca="false">IF(B500="","",IFERROR(VLOOKUP(B500,Features!$A$2:$C$200,3,FALSE()),""))</f>
        <v/>
      </c>
    </row>
    <row r="501" customFormat="false" ht="15" hidden="false" customHeight="false" outlineLevel="0" collapsed="false">
      <c r="C501" s="45" t="str">
        <f aca="false">IF(B501="","",IFERROR(VLOOKUP(B501,Features!$A$2:$C$200,3,FALSE()),""))</f>
        <v/>
      </c>
    </row>
    <row r="502" customFormat="false" ht="15" hidden="false" customHeight="false" outlineLevel="0" collapsed="false">
      <c r="C502" s="45" t="str">
        <f aca="false">IF(B502="","",IFERROR(VLOOKUP(B502,Features!$A$2:$C$200,3,FALSE()),""))</f>
        <v/>
      </c>
    </row>
    <row r="503" customFormat="false" ht="15" hidden="false" customHeight="false" outlineLevel="0" collapsed="false">
      <c r="C503" s="45" t="str">
        <f aca="false">IF(B503="","",IFERROR(VLOOKUP(B503,Features!$A$2:$C$200,3,FALSE()),""))</f>
        <v/>
      </c>
    </row>
    <row r="504" customFormat="false" ht="15" hidden="false" customHeight="false" outlineLevel="0" collapsed="false">
      <c r="C504" s="45" t="str">
        <f aca="false">IF(B504="","",IFERROR(VLOOKUP(B504,Features!$A$2:$C$200,3,FALSE()),""))</f>
        <v/>
      </c>
    </row>
    <row r="505" customFormat="false" ht="15" hidden="false" customHeight="false" outlineLevel="0" collapsed="false">
      <c r="C505" s="45" t="str">
        <f aca="false">IF(B505="","",IFERROR(VLOOKUP(B505,Features!$A$2:$C$200,3,FALSE()),""))</f>
        <v/>
      </c>
    </row>
    <row r="506" customFormat="false" ht="15" hidden="false" customHeight="false" outlineLevel="0" collapsed="false">
      <c r="C506" s="45" t="str">
        <f aca="false">IF(B506="","",IFERROR(VLOOKUP(B506,Features!$A$2:$C$200,3,FALSE()),""))</f>
        <v/>
      </c>
    </row>
    <row r="507" customFormat="false" ht="15" hidden="false" customHeight="false" outlineLevel="0" collapsed="false">
      <c r="C507" s="45" t="str">
        <f aca="false">IF(B507="","",IFERROR(VLOOKUP(B507,Features!$A$2:$C$200,3,FALSE()),""))</f>
        <v/>
      </c>
    </row>
    <row r="508" customFormat="false" ht="15" hidden="false" customHeight="false" outlineLevel="0" collapsed="false">
      <c r="C508" s="45" t="str">
        <f aca="false">IF(B508="","",IFERROR(VLOOKUP(B508,Features!$A$2:$C$200,3,FALSE()),""))</f>
        <v/>
      </c>
    </row>
    <row r="509" customFormat="false" ht="15" hidden="false" customHeight="false" outlineLevel="0" collapsed="false">
      <c r="C509" s="45" t="str">
        <f aca="false">IF(B509="","",IFERROR(VLOOKUP(B509,Features!$A$2:$C$200,3,FALSE()),""))</f>
        <v/>
      </c>
    </row>
    <row r="510" customFormat="false" ht="15" hidden="false" customHeight="false" outlineLevel="0" collapsed="false">
      <c r="C510" s="45" t="str">
        <f aca="false">IF(B510="","",IFERROR(VLOOKUP(B510,Features!$A$2:$C$200,3,FALSE()),""))</f>
        <v/>
      </c>
    </row>
    <row r="511" customFormat="false" ht="15" hidden="false" customHeight="false" outlineLevel="0" collapsed="false">
      <c r="C511" s="45" t="str">
        <f aca="false">IF(B511="","",IFERROR(VLOOKUP(B511,Features!$A$2:$C$200,3,FALSE()),""))</f>
        <v/>
      </c>
    </row>
    <row r="512" customFormat="false" ht="15" hidden="false" customHeight="false" outlineLevel="0" collapsed="false">
      <c r="C512" s="45" t="str">
        <f aca="false">IF(B512="","",IFERROR(VLOOKUP(B512,Features!$A$2:$C$200,3,FALSE()),""))</f>
        <v/>
      </c>
    </row>
    <row r="513" customFormat="false" ht="15" hidden="false" customHeight="false" outlineLevel="0" collapsed="false">
      <c r="C513" s="45" t="str">
        <f aca="false">IF(B513="","",IFERROR(VLOOKUP(B513,Features!$A$2:$C$200,3,FALSE()),""))</f>
        <v/>
      </c>
    </row>
    <row r="514" customFormat="false" ht="15" hidden="false" customHeight="false" outlineLevel="0" collapsed="false">
      <c r="C514" s="45" t="str">
        <f aca="false">IF(B514="","",IFERROR(VLOOKUP(B514,Features!$A$2:$C$200,3,FALSE()),""))</f>
        <v/>
      </c>
    </row>
    <row r="515" customFormat="false" ht="15" hidden="false" customHeight="false" outlineLevel="0" collapsed="false">
      <c r="C515" s="45" t="str">
        <f aca="false">IF(B515="","",IFERROR(VLOOKUP(B515,Features!$A$2:$C$200,3,FALSE()),""))</f>
        <v/>
      </c>
    </row>
    <row r="516" customFormat="false" ht="15" hidden="false" customHeight="false" outlineLevel="0" collapsed="false">
      <c r="C516" s="45" t="str">
        <f aca="false">IF(B516="","",IFERROR(VLOOKUP(B516,Features!$A$2:$C$200,3,FALSE()),""))</f>
        <v/>
      </c>
    </row>
    <row r="517" customFormat="false" ht="15" hidden="false" customHeight="false" outlineLevel="0" collapsed="false">
      <c r="C517" s="45" t="str">
        <f aca="false">IF(B517="","",IFERROR(VLOOKUP(B517,Features!$A$2:$C$200,3,FALSE()),""))</f>
        <v/>
      </c>
    </row>
    <row r="518" customFormat="false" ht="15" hidden="false" customHeight="false" outlineLevel="0" collapsed="false">
      <c r="C518" s="45" t="str">
        <f aca="false">IF(B518="","",IFERROR(VLOOKUP(B518,Features!$A$2:$C$200,3,FALSE()),""))</f>
        <v/>
      </c>
    </row>
    <row r="519" customFormat="false" ht="15" hidden="false" customHeight="false" outlineLevel="0" collapsed="false">
      <c r="C519" s="45" t="str">
        <f aca="false">IF(B519="","",IFERROR(VLOOKUP(B519,Features!$A$2:$C$200,3,FALSE()),""))</f>
        <v/>
      </c>
    </row>
    <row r="520" customFormat="false" ht="15" hidden="false" customHeight="false" outlineLevel="0" collapsed="false">
      <c r="C520" s="45" t="str">
        <f aca="false">IF(B520="","",IFERROR(VLOOKUP(B520,Features!$A$2:$C$200,3,FALSE()),""))</f>
        <v/>
      </c>
    </row>
    <row r="521" customFormat="false" ht="15" hidden="false" customHeight="false" outlineLevel="0" collapsed="false">
      <c r="C521" s="45" t="str">
        <f aca="false">IF(B521="","",IFERROR(VLOOKUP(B521,Features!$A$2:$C$200,3,FALSE()),""))</f>
        <v/>
      </c>
    </row>
    <row r="522" customFormat="false" ht="15" hidden="false" customHeight="false" outlineLevel="0" collapsed="false">
      <c r="C522" s="45" t="str">
        <f aca="false">IF(B522="","",IFERROR(VLOOKUP(B522,Features!$A$2:$C$200,3,FALSE()),""))</f>
        <v/>
      </c>
    </row>
    <row r="523" customFormat="false" ht="15" hidden="false" customHeight="false" outlineLevel="0" collapsed="false">
      <c r="C523" s="45" t="str">
        <f aca="false">IF(B523="","",IFERROR(VLOOKUP(B523,Features!$A$2:$C$200,3,FALSE()),""))</f>
        <v/>
      </c>
    </row>
    <row r="524" customFormat="false" ht="15" hidden="false" customHeight="false" outlineLevel="0" collapsed="false">
      <c r="C524" s="45" t="str">
        <f aca="false">IF(B524="","",IFERROR(VLOOKUP(B524,Features!$A$2:$C$200,3,FALSE()),""))</f>
        <v/>
      </c>
    </row>
    <row r="525" customFormat="false" ht="15" hidden="false" customHeight="false" outlineLevel="0" collapsed="false">
      <c r="C525" s="45" t="str">
        <f aca="false">IF(B525="","",IFERROR(VLOOKUP(B525,Features!$A$2:$C$200,3,FALSE()),""))</f>
        <v/>
      </c>
    </row>
    <row r="526" customFormat="false" ht="15" hidden="false" customHeight="false" outlineLevel="0" collapsed="false">
      <c r="C526" s="45" t="str">
        <f aca="false">IF(B526="","",IFERROR(VLOOKUP(B526,Features!$A$2:$C$200,3,FALSE()),""))</f>
        <v/>
      </c>
    </row>
    <row r="527" customFormat="false" ht="15" hidden="false" customHeight="false" outlineLevel="0" collapsed="false">
      <c r="C527" s="45" t="str">
        <f aca="false">IF(B527="","",IFERROR(VLOOKUP(B527,Features!$A$2:$C$200,3,FALSE()),""))</f>
        <v/>
      </c>
    </row>
    <row r="528" customFormat="false" ht="15" hidden="false" customHeight="false" outlineLevel="0" collapsed="false">
      <c r="C528" s="45" t="str">
        <f aca="false">IF(B528="","",IFERROR(VLOOKUP(B528,Features!$A$2:$C$200,3,FALSE()),""))</f>
        <v/>
      </c>
    </row>
    <row r="529" customFormat="false" ht="15" hidden="false" customHeight="false" outlineLevel="0" collapsed="false">
      <c r="C529" s="45" t="str">
        <f aca="false">IF(B529="","",IFERROR(VLOOKUP(B529,Features!$A$2:$C$200,3,FALSE()),""))</f>
        <v/>
      </c>
    </row>
    <row r="530" customFormat="false" ht="15" hidden="false" customHeight="false" outlineLevel="0" collapsed="false">
      <c r="C530" s="45" t="str">
        <f aca="false">IF(B530="","",IFERROR(VLOOKUP(B530,Features!$A$2:$C$200,3,FALSE()),""))</f>
        <v/>
      </c>
    </row>
    <row r="531" customFormat="false" ht="15" hidden="false" customHeight="false" outlineLevel="0" collapsed="false">
      <c r="C531" s="45" t="str">
        <f aca="false">IF(B531="","",IFERROR(VLOOKUP(B531,Features!$A$2:$C$200,3,FALSE()),""))</f>
        <v/>
      </c>
    </row>
    <row r="532" customFormat="false" ht="15" hidden="false" customHeight="false" outlineLevel="0" collapsed="false">
      <c r="C532" s="45" t="str">
        <f aca="false">IF(B532="","",IFERROR(VLOOKUP(B532,Features!$A$2:$C$200,3,FALSE()),""))</f>
        <v/>
      </c>
    </row>
    <row r="533" customFormat="false" ht="15" hidden="false" customHeight="false" outlineLevel="0" collapsed="false">
      <c r="C533" s="45" t="str">
        <f aca="false">IF(B533="","",IFERROR(VLOOKUP(B533,Features!$A$2:$C$200,3,FALSE()),""))</f>
        <v/>
      </c>
    </row>
    <row r="534" customFormat="false" ht="15" hidden="false" customHeight="false" outlineLevel="0" collapsed="false">
      <c r="C534" s="45" t="str">
        <f aca="false">IF(B534="","",IFERROR(VLOOKUP(B534,Features!$A$2:$C$200,3,FALSE()),""))</f>
        <v/>
      </c>
    </row>
    <row r="535" customFormat="false" ht="15" hidden="false" customHeight="false" outlineLevel="0" collapsed="false">
      <c r="C535" s="45" t="str">
        <f aca="false">IF(B535="","",IFERROR(VLOOKUP(B535,Features!$A$2:$C$200,3,FALSE()),""))</f>
        <v/>
      </c>
    </row>
    <row r="536" customFormat="false" ht="15" hidden="false" customHeight="false" outlineLevel="0" collapsed="false">
      <c r="C536" s="45" t="str">
        <f aca="false">IF(B536="","",IFERROR(VLOOKUP(B536,Features!$A$2:$C$200,3,FALSE()),""))</f>
        <v/>
      </c>
    </row>
    <row r="537" customFormat="false" ht="15" hidden="false" customHeight="false" outlineLevel="0" collapsed="false">
      <c r="C537" s="45" t="str">
        <f aca="false">IF(B537="","",IFERROR(VLOOKUP(B537,Features!$A$2:$C$200,3,FALSE()),""))</f>
        <v/>
      </c>
    </row>
    <row r="538" customFormat="false" ht="15" hidden="false" customHeight="false" outlineLevel="0" collapsed="false">
      <c r="C538" s="45" t="str">
        <f aca="false">IF(B538="","",IFERROR(VLOOKUP(B538,Features!$A$2:$C$200,3,FALSE()),""))</f>
        <v/>
      </c>
    </row>
    <row r="539" customFormat="false" ht="15" hidden="false" customHeight="false" outlineLevel="0" collapsed="false">
      <c r="C539" s="45" t="str">
        <f aca="false">IF(B539="","",IFERROR(VLOOKUP(B539,Features!$A$2:$C$200,3,FALSE()),""))</f>
        <v/>
      </c>
    </row>
    <row r="540" customFormat="false" ht="15" hidden="false" customHeight="false" outlineLevel="0" collapsed="false">
      <c r="C540" s="45" t="str">
        <f aca="false">IF(B540="","",IFERROR(VLOOKUP(B540,Features!$A$2:$C$200,3,FALSE()),""))</f>
        <v/>
      </c>
    </row>
    <row r="541" customFormat="false" ht="15" hidden="false" customHeight="false" outlineLevel="0" collapsed="false">
      <c r="C541" s="45" t="str">
        <f aca="false">IF(B541="","",IFERROR(VLOOKUP(B541,Features!$A$2:$C$200,3,FALSE()),""))</f>
        <v/>
      </c>
    </row>
    <row r="542" customFormat="false" ht="15" hidden="false" customHeight="false" outlineLevel="0" collapsed="false">
      <c r="C542" s="45" t="str">
        <f aca="false">IF(B542="","",IFERROR(VLOOKUP(B542,Features!$A$2:$C$200,3,FALSE()),""))</f>
        <v/>
      </c>
    </row>
    <row r="543" customFormat="false" ht="15" hidden="false" customHeight="false" outlineLevel="0" collapsed="false">
      <c r="C543" s="45" t="str">
        <f aca="false">IF(B543="","",IFERROR(VLOOKUP(B543,Features!$A$2:$C$200,3,FALSE()),""))</f>
        <v/>
      </c>
    </row>
    <row r="544" customFormat="false" ht="15" hidden="false" customHeight="false" outlineLevel="0" collapsed="false">
      <c r="C544" s="45" t="str">
        <f aca="false">IF(B544="","",IFERROR(VLOOKUP(B544,Features!$A$2:$C$200,3,FALSE()),""))</f>
        <v/>
      </c>
    </row>
    <row r="545" customFormat="false" ht="15" hidden="false" customHeight="false" outlineLevel="0" collapsed="false">
      <c r="C545" s="45" t="str">
        <f aca="false">IF(B545="","",IFERROR(VLOOKUP(B545,Features!$A$2:$C$200,3,FALSE()),""))</f>
        <v/>
      </c>
    </row>
    <row r="546" customFormat="false" ht="15" hidden="false" customHeight="false" outlineLevel="0" collapsed="false">
      <c r="C546" s="45" t="str">
        <f aca="false">IF(B546="","",IFERROR(VLOOKUP(B546,Features!$A$2:$C$200,3,FALSE()),""))</f>
        <v/>
      </c>
    </row>
    <row r="547" customFormat="false" ht="15" hidden="false" customHeight="false" outlineLevel="0" collapsed="false">
      <c r="C547" s="45" t="str">
        <f aca="false">IF(B547="","",IFERROR(VLOOKUP(B547,Features!$A$2:$C$200,3,FALSE()),""))</f>
        <v/>
      </c>
    </row>
    <row r="548" customFormat="false" ht="15" hidden="false" customHeight="false" outlineLevel="0" collapsed="false">
      <c r="C548" s="45" t="str">
        <f aca="false">IF(B548="","",IFERROR(VLOOKUP(B548,Features!$A$2:$C$200,3,FALSE()),""))</f>
        <v/>
      </c>
    </row>
    <row r="549" customFormat="false" ht="15" hidden="false" customHeight="false" outlineLevel="0" collapsed="false">
      <c r="C549" s="45" t="str">
        <f aca="false">IF(B549="","",IFERROR(VLOOKUP(B549,Features!$A$2:$C$200,3,FALSE()),""))</f>
        <v/>
      </c>
    </row>
    <row r="550" customFormat="false" ht="15" hidden="false" customHeight="false" outlineLevel="0" collapsed="false">
      <c r="C550" s="45" t="str">
        <f aca="false">IF(B550="","",IFERROR(VLOOKUP(B550,Features!$A$2:$C$200,3,FALSE()),""))</f>
        <v/>
      </c>
    </row>
    <row r="551" customFormat="false" ht="15" hidden="false" customHeight="false" outlineLevel="0" collapsed="false">
      <c r="C551" s="45" t="str">
        <f aca="false">IF(B551="","",IFERROR(VLOOKUP(B551,Features!$A$2:$C$200,3,FALSE()),""))</f>
        <v/>
      </c>
    </row>
    <row r="552" customFormat="false" ht="15" hidden="false" customHeight="false" outlineLevel="0" collapsed="false">
      <c r="C552" s="45" t="str">
        <f aca="false">IF(B552="","",IFERROR(VLOOKUP(B552,Features!$A$2:$C$200,3,FALSE()),""))</f>
        <v/>
      </c>
    </row>
    <row r="553" customFormat="false" ht="15" hidden="false" customHeight="false" outlineLevel="0" collapsed="false">
      <c r="C553" s="45" t="str">
        <f aca="false">IF(B553="","",IFERROR(VLOOKUP(B553,Features!$A$2:$C$200,3,FALSE()),""))</f>
        <v/>
      </c>
    </row>
    <row r="554" customFormat="false" ht="15" hidden="false" customHeight="false" outlineLevel="0" collapsed="false">
      <c r="C554" s="45" t="str">
        <f aca="false">IF(B554="","",IFERROR(VLOOKUP(B554,Features!$A$2:$C$200,3,FALSE()),""))</f>
        <v/>
      </c>
    </row>
    <row r="555" customFormat="false" ht="15" hidden="false" customHeight="false" outlineLevel="0" collapsed="false">
      <c r="C555" s="45" t="str">
        <f aca="false">IF(B555="","",IFERROR(VLOOKUP(B555,Features!$A$2:$C$200,3,FALSE()),""))</f>
        <v/>
      </c>
    </row>
    <row r="556" customFormat="false" ht="15" hidden="false" customHeight="false" outlineLevel="0" collapsed="false">
      <c r="C556" s="45" t="str">
        <f aca="false">IF(B556="","",IFERROR(VLOOKUP(B556,Features!$A$2:$C$200,3,FALSE()),""))</f>
        <v/>
      </c>
    </row>
    <row r="557" customFormat="false" ht="15" hidden="false" customHeight="false" outlineLevel="0" collapsed="false">
      <c r="C557" s="45" t="str">
        <f aca="false">IF(B557="","",IFERROR(VLOOKUP(B557,Features!$A$2:$C$200,3,FALSE()),""))</f>
        <v/>
      </c>
    </row>
    <row r="558" customFormat="false" ht="15" hidden="false" customHeight="false" outlineLevel="0" collapsed="false">
      <c r="C558" s="45" t="str">
        <f aca="false">IF(B558="","",IFERROR(VLOOKUP(B558,Features!$A$2:$C$200,3,FALSE()),""))</f>
        <v/>
      </c>
    </row>
    <row r="559" customFormat="false" ht="15" hidden="false" customHeight="false" outlineLevel="0" collapsed="false">
      <c r="C559" s="45" t="str">
        <f aca="false">IF(B559="","",IFERROR(VLOOKUP(B559,Features!$A$2:$C$200,3,FALSE()),""))</f>
        <v/>
      </c>
    </row>
    <row r="560" customFormat="false" ht="15" hidden="false" customHeight="false" outlineLevel="0" collapsed="false">
      <c r="C560" s="45" t="str">
        <f aca="false">IF(B560="","",IFERROR(VLOOKUP(B560,Features!$A$2:$C$200,3,FALSE()),""))</f>
        <v/>
      </c>
    </row>
    <row r="561" customFormat="false" ht="15" hidden="false" customHeight="false" outlineLevel="0" collapsed="false">
      <c r="C561" s="45" t="str">
        <f aca="false">IF(B561="","",IFERROR(VLOOKUP(B561,Features!$A$2:$C$200,3,FALSE()),""))</f>
        <v/>
      </c>
    </row>
    <row r="562" customFormat="false" ht="15" hidden="false" customHeight="false" outlineLevel="0" collapsed="false">
      <c r="C562" s="45" t="str">
        <f aca="false">IF(B562="","",IFERROR(VLOOKUP(B562,Features!$A$2:$C$200,3,FALSE()),""))</f>
        <v/>
      </c>
    </row>
    <row r="563" customFormat="false" ht="15" hidden="false" customHeight="false" outlineLevel="0" collapsed="false">
      <c r="C563" s="45" t="str">
        <f aca="false">IF(B563="","",IFERROR(VLOOKUP(B563,Features!$A$2:$C$200,3,FALSE()),""))</f>
        <v/>
      </c>
    </row>
    <row r="564" customFormat="false" ht="15" hidden="false" customHeight="false" outlineLevel="0" collapsed="false">
      <c r="C564" s="45" t="str">
        <f aca="false">IF(B564="","",IFERROR(VLOOKUP(B564,Features!$A$2:$C$200,3,FALSE()),""))</f>
        <v/>
      </c>
    </row>
    <row r="565" customFormat="false" ht="15" hidden="false" customHeight="false" outlineLevel="0" collapsed="false">
      <c r="C565" s="45" t="str">
        <f aca="false">IF(B565="","",IFERROR(VLOOKUP(B565,Features!$A$2:$C$200,3,FALSE()),""))</f>
        <v/>
      </c>
    </row>
    <row r="566" customFormat="false" ht="15" hidden="false" customHeight="false" outlineLevel="0" collapsed="false">
      <c r="C566" s="45" t="str">
        <f aca="false">IF(B566="","",IFERROR(VLOOKUP(B566,Features!$A$2:$C$200,3,FALSE()),""))</f>
        <v/>
      </c>
    </row>
    <row r="567" customFormat="false" ht="15" hidden="false" customHeight="false" outlineLevel="0" collapsed="false">
      <c r="C567" s="45" t="str">
        <f aca="false">IF(B567="","",IFERROR(VLOOKUP(B567,Features!$A$2:$C$200,3,FALSE()),""))</f>
        <v/>
      </c>
    </row>
    <row r="568" customFormat="false" ht="15" hidden="false" customHeight="false" outlineLevel="0" collapsed="false">
      <c r="C568" s="45" t="str">
        <f aca="false">IF(B568="","",IFERROR(VLOOKUP(B568,Features!$A$2:$C$200,3,FALSE()),""))</f>
        <v/>
      </c>
    </row>
    <row r="569" customFormat="false" ht="15" hidden="false" customHeight="false" outlineLevel="0" collapsed="false">
      <c r="C569" s="45" t="str">
        <f aca="false">IF(B569="","",IFERROR(VLOOKUP(B569,Features!$A$2:$C$200,3,FALSE()),""))</f>
        <v/>
      </c>
    </row>
    <row r="570" customFormat="false" ht="15" hidden="false" customHeight="false" outlineLevel="0" collapsed="false">
      <c r="C570" s="45" t="str">
        <f aca="false">IF(B570="","",IFERROR(VLOOKUP(B570,Features!$A$2:$C$200,3,FALSE()),""))</f>
        <v/>
      </c>
    </row>
    <row r="571" customFormat="false" ht="15" hidden="false" customHeight="false" outlineLevel="0" collapsed="false">
      <c r="C571" s="45" t="str">
        <f aca="false">IF(B571="","",IFERROR(VLOOKUP(B571,Features!$A$2:$C$200,3,FALSE()),""))</f>
        <v/>
      </c>
    </row>
    <row r="572" customFormat="false" ht="15" hidden="false" customHeight="false" outlineLevel="0" collapsed="false">
      <c r="C572" s="45" t="str">
        <f aca="false">IF(B572="","",IFERROR(VLOOKUP(B572,Features!$A$2:$C$200,3,FALSE()),""))</f>
        <v/>
      </c>
    </row>
    <row r="573" customFormat="false" ht="15" hidden="false" customHeight="false" outlineLevel="0" collapsed="false">
      <c r="C573" s="45" t="str">
        <f aca="false">IF(B573="","",IFERROR(VLOOKUP(B573,Features!$A$2:$C$200,3,FALSE()),""))</f>
        <v/>
      </c>
    </row>
    <row r="574" customFormat="false" ht="15" hidden="false" customHeight="false" outlineLevel="0" collapsed="false">
      <c r="C574" s="45" t="str">
        <f aca="false">IF(B574="","",IFERROR(VLOOKUP(B574,Features!$A$2:$C$200,3,FALSE()),""))</f>
        <v/>
      </c>
    </row>
    <row r="575" customFormat="false" ht="15" hidden="false" customHeight="false" outlineLevel="0" collapsed="false">
      <c r="C575" s="45" t="str">
        <f aca="false">IF(B575="","",IFERROR(VLOOKUP(B575,Features!$A$2:$C$200,3,FALSE()),""))</f>
        <v/>
      </c>
    </row>
    <row r="576" customFormat="false" ht="15" hidden="false" customHeight="false" outlineLevel="0" collapsed="false">
      <c r="C576" s="45" t="str">
        <f aca="false">IF(B576="","",IFERROR(VLOOKUP(B576,Features!$A$2:$C$200,3,FALSE()),""))</f>
        <v/>
      </c>
    </row>
    <row r="577" customFormat="false" ht="15" hidden="false" customHeight="false" outlineLevel="0" collapsed="false">
      <c r="C577" s="45" t="str">
        <f aca="false">IF(B577="","",IFERROR(VLOOKUP(B577,Features!$A$2:$C$200,3,FALSE()),""))</f>
        <v/>
      </c>
    </row>
    <row r="578" customFormat="false" ht="15" hidden="false" customHeight="false" outlineLevel="0" collapsed="false">
      <c r="C578" s="45" t="str">
        <f aca="false">IF(B578="","",IFERROR(VLOOKUP(B578,Features!$A$2:$C$200,3,FALSE()),""))</f>
        <v/>
      </c>
    </row>
    <row r="579" customFormat="false" ht="15" hidden="false" customHeight="false" outlineLevel="0" collapsed="false">
      <c r="C579" s="45" t="str">
        <f aca="false">IF(B579="","",IFERROR(VLOOKUP(B579,Features!$A$2:$C$200,3,FALSE()),""))</f>
        <v/>
      </c>
    </row>
    <row r="580" customFormat="false" ht="15" hidden="false" customHeight="false" outlineLevel="0" collapsed="false">
      <c r="C580" s="45" t="str">
        <f aca="false">IF(B580="","",IFERROR(VLOOKUP(B580,Features!$A$2:$C$200,3,FALSE()),""))</f>
        <v/>
      </c>
    </row>
    <row r="581" customFormat="false" ht="15" hidden="false" customHeight="false" outlineLevel="0" collapsed="false">
      <c r="C581" s="45" t="str">
        <f aca="false">IF(B581="","",IFERROR(VLOOKUP(B581,Features!$A$2:$C$200,3,FALSE()),""))</f>
        <v/>
      </c>
    </row>
    <row r="582" customFormat="false" ht="15" hidden="false" customHeight="false" outlineLevel="0" collapsed="false">
      <c r="C582" s="45" t="str">
        <f aca="false">IF(B582="","",IFERROR(VLOOKUP(B582,Features!$A$2:$C$200,3,FALSE()),""))</f>
        <v/>
      </c>
    </row>
    <row r="583" customFormat="false" ht="15" hidden="false" customHeight="false" outlineLevel="0" collapsed="false">
      <c r="C583" s="45" t="str">
        <f aca="false">IF(B583="","",IFERROR(VLOOKUP(B583,Features!$A$2:$C$200,3,FALSE()),""))</f>
        <v/>
      </c>
    </row>
    <row r="584" customFormat="false" ht="15" hidden="false" customHeight="false" outlineLevel="0" collapsed="false">
      <c r="C584" s="45" t="str">
        <f aca="false">IF(B584="","",IFERROR(VLOOKUP(B584,Features!$A$2:$C$200,3,FALSE()),""))</f>
        <v/>
      </c>
    </row>
    <row r="585" customFormat="false" ht="15" hidden="false" customHeight="false" outlineLevel="0" collapsed="false">
      <c r="C585" s="45" t="str">
        <f aca="false">IF(B585="","",IFERROR(VLOOKUP(B585,Features!$A$2:$C$200,3,FALSE()),""))</f>
        <v/>
      </c>
    </row>
    <row r="586" customFormat="false" ht="15" hidden="false" customHeight="false" outlineLevel="0" collapsed="false">
      <c r="C586" s="45" t="str">
        <f aca="false">IF(B586="","",IFERROR(VLOOKUP(B586,Features!$A$2:$C$200,3,FALSE()),""))</f>
        <v/>
      </c>
    </row>
    <row r="587" customFormat="false" ht="15" hidden="false" customHeight="false" outlineLevel="0" collapsed="false">
      <c r="C587" s="45" t="str">
        <f aca="false">IF(B587="","",IFERROR(VLOOKUP(B587,Features!$A$2:$C$200,3,FALSE()),""))</f>
        <v/>
      </c>
    </row>
    <row r="588" customFormat="false" ht="15" hidden="false" customHeight="false" outlineLevel="0" collapsed="false">
      <c r="C588" s="45" t="str">
        <f aca="false">IF(B588="","",IFERROR(VLOOKUP(B588,Features!$A$2:$C$200,3,FALSE()),""))</f>
        <v/>
      </c>
    </row>
    <row r="589" customFormat="false" ht="15" hidden="false" customHeight="false" outlineLevel="0" collapsed="false">
      <c r="C589" s="45" t="str">
        <f aca="false">IF(B589="","",IFERROR(VLOOKUP(B589,Features!$A$2:$C$200,3,FALSE()),""))</f>
        <v/>
      </c>
    </row>
    <row r="590" customFormat="false" ht="15" hidden="false" customHeight="false" outlineLevel="0" collapsed="false">
      <c r="C590" s="45" t="str">
        <f aca="false">IF(B590="","",IFERROR(VLOOKUP(B590,Features!$A$2:$C$200,3,FALSE()),""))</f>
        <v/>
      </c>
    </row>
    <row r="591" customFormat="false" ht="15" hidden="false" customHeight="false" outlineLevel="0" collapsed="false">
      <c r="C591" s="45" t="str">
        <f aca="false">IF(B591="","",IFERROR(VLOOKUP(B591,Features!$A$2:$C$200,3,FALSE()),""))</f>
        <v/>
      </c>
    </row>
    <row r="592" customFormat="false" ht="15" hidden="false" customHeight="false" outlineLevel="0" collapsed="false">
      <c r="C592" s="45" t="str">
        <f aca="false">IF(B592="","",IFERROR(VLOOKUP(B592,Features!$A$2:$C$200,3,FALSE()),""))</f>
        <v/>
      </c>
    </row>
    <row r="593" customFormat="false" ht="15" hidden="false" customHeight="false" outlineLevel="0" collapsed="false">
      <c r="C593" s="45" t="str">
        <f aca="false">IF(B593="","",IFERROR(VLOOKUP(B593,Features!$A$2:$C$200,3,FALSE()),""))</f>
        <v/>
      </c>
    </row>
    <row r="594" customFormat="false" ht="15" hidden="false" customHeight="false" outlineLevel="0" collapsed="false">
      <c r="C594" s="45" t="str">
        <f aca="false">IF(B594="","",IFERROR(VLOOKUP(B594,Features!$A$2:$C$200,3,FALSE()),""))</f>
        <v/>
      </c>
    </row>
    <row r="595" customFormat="false" ht="15" hidden="false" customHeight="false" outlineLevel="0" collapsed="false">
      <c r="C595" s="45" t="str">
        <f aca="false">IF(B595="","",IFERROR(VLOOKUP(B595,Features!$A$2:$C$200,3,FALSE()),""))</f>
        <v/>
      </c>
    </row>
    <row r="596" customFormat="false" ht="15" hidden="false" customHeight="false" outlineLevel="0" collapsed="false">
      <c r="C596" s="45" t="str">
        <f aca="false">IF(B596="","",IFERROR(VLOOKUP(B596,Features!$A$2:$C$200,3,FALSE()),""))</f>
        <v/>
      </c>
    </row>
    <row r="597" customFormat="false" ht="15" hidden="false" customHeight="false" outlineLevel="0" collapsed="false">
      <c r="C597" s="45" t="str">
        <f aca="false">IF(B597="","",IFERROR(VLOOKUP(B597,Features!$A$2:$C$200,3,FALSE()),""))</f>
        <v/>
      </c>
    </row>
    <row r="598" customFormat="false" ht="15" hidden="false" customHeight="false" outlineLevel="0" collapsed="false">
      <c r="C598" s="45" t="str">
        <f aca="false">IF(B598="","",IFERROR(VLOOKUP(B598,Features!$A$2:$C$200,3,FALSE()),""))</f>
        <v/>
      </c>
    </row>
    <row r="599" customFormat="false" ht="15" hidden="false" customHeight="false" outlineLevel="0" collapsed="false">
      <c r="C599" s="45" t="str">
        <f aca="false">IF(B599="","",IFERROR(VLOOKUP(B599,Features!$A$2:$C$200,3,FALSE()),""))</f>
        <v/>
      </c>
    </row>
    <row r="600" customFormat="false" ht="15" hidden="false" customHeight="false" outlineLevel="0" collapsed="false">
      <c r="C600" s="45" t="str">
        <f aca="false">IF(B600="","",IFERROR(VLOOKUP(B600,Features!$A$2:$C$200,3,FALSE()),""))</f>
        <v/>
      </c>
    </row>
    <row r="601" customFormat="false" ht="15" hidden="false" customHeight="false" outlineLevel="0" collapsed="false">
      <c r="C601" s="45" t="str">
        <f aca="false">IF(B601="","",IFERROR(VLOOKUP(B601,Features!$A$2:$C$200,3,FALSE()),""))</f>
        <v/>
      </c>
    </row>
    <row r="602" customFormat="false" ht="15" hidden="false" customHeight="false" outlineLevel="0" collapsed="false">
      <c r="C602" s="45" t="str">
        <f aca="false">IF(B602="","",IFERROR(VLOOKUP(B602,Features!$A$2:$C$200,3,FALSE()),""))</f>
        <v/>
      </c>
    </row>
    <row r="603" customFormat="false" ht="15" hidden="false" customHeight="false" outlineLevel="0" collapsed="false">
      <c r="C603" s="45" t="str">
        <f aca="false">IF(B603="","",IFERROR(VLOOKUP(B603,Features!$A$2:$C$200,3,FALSE()),""))</f>
        <v/>
      </c>
    </row>
    <row r="604" customFormat="false" ht="15" hidden="false" customHeight="false" outlineLevel="0" collapsed="false">
      <c r="C604" s="45" t="str">
        <f aca="false">IF(B604="","",IFERROR(VLOOKUP(B604,Features!$A$2:$C$200,3,FALSE()),""))</f>
        <v/>
      </c>
    </row>
    <row r="605" customFormat="false" ht="15" hidden="false" customHeight="false" outlineLevel="0" collapsed="false">
      <c r="C605" s="45" t="str">
        <f aca="false">IF(B605="","",IFERROR(VLOOKUP(B605,Features!$A$2:$C$200,3,FALSE()),""))</f>
        <v/>
      </c>
    </row>
    <row r="606" customFormat="false" ht="15" hidden="false" customHeight="false" outlineLevel="0" collapsed="false">
      <c r="C606" s="45" t="str">
        <f aca="false">IF(B606="","",IFERROR(VLOOKUP(B606,Features!$A$2:$C$200,3,FALSE()),""))</f>
        <v/>
      </c>
    </row>
    <row r="607" customFormat="false" ht="15" hidden="false" customHeight="false" outlineLevel="0" collapsed="false">
      <c r="C607" s="45" t="str">
        <f aca="false">IF(B607="","",IFERROR(VLOOKUP(B607,Features!$A$2:$C$200,3,FALSE()),""))</f>
        <v/>
      </c>
    </row>
    <row r="608" customFormat="false" ht="15" hidden="false" customHeight="false" outlineLevel="0" collapsed="false">
      <c r="C608" s="45" t="str">
        <f aca="false">IF(B608="","",IFERROR(VLOOKUP(B608,Features!$A$2:$C$200,3,FALSE()),""))</f>
        <v/>
      </c>
    </row>
    <row r="609" customFormat="false" ht="15" hidden="false" customHeight="false" outlineLevel="0" collapsed="false">
      <c r="C609" s="45" t="str">
        <f aca="false">IF(B609="","",IFERROR(VLOOKUP(B609,Features!$A$2:$C$200,3,FALSE()),""))</f>
        <v/>
      </c>
    </row>
    <row r="610" customFormat="false" ht="15" hidden="false" customHeight="false" outlineLevel="0" collapsed="false">
      <c r="C610" s="45" t="str">
        <f aca="false">IF(B610="","",IFERROR(VLOOKUP(B610,Features!$A$2:$C$200,3,FALSE()),""))</f>
        <v/>
      </c>
    </row>
    <row r="611" customFormat="false" ht="15" hidden="false" customHeight="false" outlineLevel="0" collapsed="false">
      <c r="C611" s="45" t="str">
        <f aca="false">IF(B611="","",IFERROR(VLOOKUP(B611,Features!$A$2:$C$200,3,FALSE()),""))</f>
        <v/>
      </c>
    </row>
    <row r="612" customFormat="false" ht="15" hidden="false" customHeight="false" outlineLevel="0" collapsed="false">
      <c r="C612" s="45" t="str">
        <f aca="false">IF(B612="","",IFERROR(VLOOKUP(B612,Features!$A$2:$C$200,3,FALSE()),""))</f>
        <v/>
      </c>
    </row>
    <row r="613" customFormat="false" ht="15" hidden="false" customHeight="false" outlineLevel="0" collapsed="false">
      <c r="C613" s="45" t="str">
        <f aca="false">IF(B613="","",IFERROR(VLOOKUP(B613,Features!$A$2:$C$200,3,FALSE()),""))</f>
        <v/>
      </c>
    </row>
    <row r="614" customFormat="false" ht="15" hidden="false" customHeight="false" outlineLevel="0" collapsed="false">
      <c r="C614" s="45" t="str">
        <f aca="false">IF(B614="","",IFERROR(VLOOKUP(B614,Features!$A$2:$C$200,3,FALSE()),""))</f>
        <v/>
      </c>
    </row>
    <row r="615" customFormat="false" ht="15" hidden="false" customHeight="false" outlineLevel="0" collapsed="false">
      <c r="C615" s="45" t="str">
        <f aca="false">IF(B615="","",IFERROR(VLOOKUP(B615,Features!$A$2:$C$200,3,FALSE()),""))</f>
        <v/>
      </c>
    </row>
    <row r="616" customFormat="false" ht="15" hidden="false" customHeight="false" outlineLevel="0" collapsed="false">
      <c r="C616" s="45" t="str">
        <f aca="false">IF(B616="","",IFERROR(VLOOKUP(B616,Features!$A$2:$C$200,3,FALSE()),""))</f>
        <v/>
      </c>
    </row>
    <row r="617" customFormat="false" ht="15" hidden="false" customHeight="false" outlineLevel="0" collapsed="false">
      <c r="C617" s="45" t="str">
        <f aca="false">IF(B617="","",IFERROR(VLOOKUP(B617,Features!$A$2:$C$200,3,FALSE()),""))</f>
        <v/>
      </c>
    </row>
    <row r="618" customFormat="false" ht="15" hidden="false" customHeight="false" outlineLevel="0" collapsed="false">
      <c r="C618" s="45" t="str">
        <f aca="false">IF(B618="","",IFERROR(VLOOKUP(B618,Features!$A$2:$C$200,3,FALSE()),""))</f>
        <v/>
      </c>
    </row>
    <row r="619" customFormat="false" ht="15" hidden="false" customHeight="false" outlineLevel="0" collapsed="false">
      <c r="C619" s="45" t="str">
        <f aca="false">IF(B619="","",IFERROR(VLOOKUP(B619,Features!$A$2:$C$200,3,FALSE()),""))</f>
        <v/>
      </c>
    </row>
    <row r="620" customFormat="false" ht="15" hidden="false" customHeight="false" outlineLevel="0" collapsed="false">
      <c r="C620" s="45" t="str">
        <f aca="false">IF(B620="","",IFERROR(VLOOKUP(B620,Features!$A$2:$C$200,3,FALSE()),""))</f>
        <v/>
      </c>
    </row>
    <row r="621" customFormat="false" ht="15" hidden="false" customHeight="false" outlineLevel="0" collapsed="false">
      <c r="C621" s="45" t="str">
        <f aca="false">IF(B621="","",IFERROR(VLOOKUP(B621,Features!$A$2:$C$200,3,FALSE()),""))</f>
        <v/>
      </c>
    </row>
    <row r="622" customFormat="false" ht="15" hidden="false" customHeight="false" outlineLevel="0" collapsed="false">
      <c r="C622" s="45" t="str">
        <f aca="false">IF(B622="","",IFERROR(VLOOKUP(B622,Features!$A$2:$C$200,3,FALSE()),""))</f>
        <v/>
      </c>
    </row>
    <row r="623" customFormat="false" ht="15" hidden="false" customHeight="false" outlineLevel="0" collapsed="false">
      <c r="C623" s="45" t="str">
        <f aca="false">IF(B623="","",IFERROR(VLOOKUP(B623,Features!$A$2:$C$200,3,FALSE()),""))</f>
        <v/>
      </c>
    </row>
    <row r="624" customFormat="false" ht="15" hidden="false" customHeight="false" outlineLevel="0" collapsed="false">
      <c r="C624" s="45" t="str">
        <f aca="false">IF(B624="","",IFERROR(VLOOKUP(B624,Features!$A$2:$C$200,3,FALSE()),""))</f>
        <v/>
      </c>
    </row>
    <row r="625" customFormat="false" ht="15" hidden="false" customHeight="false" outlineLevel="0" collapsed="false">
      <c r="C625" s="45" t="str">
        <f aca="false">IF(B625="","",IFERROR(VLOOKUP(B625,Features!$A$2:$C$200,3,FALSE()),""))</f>
        <v/>
      </c>
    </row>
    <row r="626" customFormat="false" ht="15" hidden="false" customHeight="false" outlineLevel="0" collapsed="false">
      <c r="C626" s="45" t="str">
        <f aca="false">IF(B626="","",IFERROR(VLOOKUP(B626,Features!$A$2:$C$200,3,FALSE()),""))</f>
        <v/>
      </c>
    </row>
    <row r="627" customFormat="false" ht="15" hidden="false" customHeight="false" outlineLevel="0" collapsed="false">
      <c r="C627" s="45" t="str">
        <f aca="false">IF(B627="","",IFERROR(VLOOKUP(B627,Features!$A$2:$C$200,3,FALSE()),""))</f>
        <v/>
      </c>
    </row>
    <row r="628" customFormat="false" ht="15" hidden="false" customHeight="false" outlineLevel="0" collapsed="false">
      <c r="C628" s="45" t="str">
        <f aca="false">IF(B628="","",IFERROR(VLOOKUP(B628,Features!$A$2:$C$200,3,FALSE()),""))</f>
        <v/>
      </c>
    </row>
    <row r="629" customFormat="false" ht="15" hidden="false" customHeight="false" outlineLevel="0" collapsed="false">
      <c r="C629" s="45" t="str">
        <f aca="false">IF(B629="","",IFERROR(VLOOKUP(B629,Features!$A$2:$C$200,3,FALSE()),""))</f>
        <v/>
      </c>
    </row>
    <row r="630" customFormat="false" ht="15" hidden="false" customHeight="false" outlineLevel="0" collapsed="false">
      <c r="C630" s="45" t="str">
        <f aca="false">IF(B630="","",IFERROR(VLOOKUP(B630,Features!$A$2:$C$200,3,FALSE()),""))</f>
        <v/>
      </c>
    </row>
    <row r="631" customFormat="false" ht="15" hidden="false" customHeight="false" outlineLevel="0" collapsed="false">
      <c r="C631" s="45" t="str">
        <f aca="false">IF(B631="","",IFERROR(VLOOKUP(B631,Features!$A$2:$C$200,3,FALSE()),""))</f>
        <v/>
      </c>
    </row>
    <row r="632" customFormat="false" ht="15" hidden="false" customHeight="false" outlineLevel="0" collapsed="false">
      <c r="C632" s="45" t="str">
        <f aca="false">IF(B632="","",IFERROR(VLOOKUP(B632,Features!$A$2:$C$200,3,FALSE()),""))</f>
        <v/>
      </c>
    </row>
    <row r="633" customFormat="false" ht="15" hidden="false" customHeight="false" outlineLevel="0" collapsed="false">
      <c r="C633" s="45" t="str">
        <f aca="false">IF(B633="","",IFERROR(VLOOKUP(B633,Features!$A$2:$C$200,3,FALSE()),""))</f>
        <v/>
      </c>
    </row>
    <row r="634" customFormat="false" ht="15" hidden="false" customHeight="false" outlineLevel="0" collapsed="false">
      <c r="C634" s="45" t="str">
        <f aca="false">IF(B634="","",IFERROR(VLOOKUP(B634,Features!$A$2:$C$200,3,FALSE()),""))</f>
        <v/>
      </c>
    </row>
    <row r="635" customFormat="false" ht="15" hidden="false" customHeight="false" outlineLevel="0" collapsed="false">
      <c r="C635" s="45" t="str">
        <f aca="false">IF(B635="","",IFERROR(VLOOKUP(B635,Features!$A$2:$C$200,3,FALSE()),""))</f>
        <v/>
      </c>
    </row>
    <row r="636" customFormat="false" ht="15" hidden="false" customHeight="false" outlineLevel="0" collapsed="false">
      <c r="C636" s="45" t="str">
        <f aca="false">IF(B636="","",IFERROR(VLOOKUP(B636,Features!$A$2:$C$200,3,FALSE()),""))</f>
        <v/>
      </c>
    </row>
    <row r="637" customFormat="false" ht="15" hidden="false" customHeight="false" outlineLevel="0" collapsed="false">
      <c r="C637" s="45" t="str">
        <f aca="false">IF(B637="","",IFERROR(VLOOKUP(B637,Features!$A$2:$C$200,3,FALSE()),""))</f>
        <v/>
      </c>
    </row>
    <row r="638" customFormat="false" ht="15" hidden="false" customHeight="false" outlineLevel="0" collapsed="false">
      <c r="C638" s="45" t="str">
        <f aca="false">IF(B638="","",IFERROR(VLOOKUP(B638,Features!$A$2:$C$200,3,FALSE()),""))</f>
        <v/>
      </c>
    </row>
    <row r="639" customFormat="false" ht="15" hidden="false" customHeight="false" outlineLevel="0" collapsed="false">
      <c r="C639" s="45" t="str">
        <f aca="false">IF(B639="","",IFERROR(VLOOKUP(B639,Features!$A$2:$C$200,3,FALSE()),""))</f>
        <v/>
      </c>
    </row>
    <row r="640" customFormat="false" ht="15" hidden="false" customHeight="false" outlineLevel="0" collapsed="false">
      <c r="C640" s="45" t="str">
        <f aca="false">IF(B640="","",IFERROR(VLOOKUP(B640,Features!$A$2:$C$200,3,FALSE()),""))</f>
        <v/>
      </c>
    </row>
    <row r="641" customFormat="false" ht="15" hidden="false" customHeight="false" outlineLevel="0" collapsed="false">
      <c r="C641" s="45" t="str">
        <f aca="false">IF(B641="","",IFERROR(VLOOKUP(B641,Features!$A$2:$C$200,3,FALSE()),""))</f>
        <v/>
      </c>
    </row>
    <row r="642" customFormat="false" ht="15" hidden="false" customHeight="false" outlineLevel="0" collapsed="false">
      <c r="C642" s="45" t="str">
        <f aca="false">IF(B642="","",IFERROR(VLOOKUP(B642,Features!$A$2:$C$200,3,FALSE()),""))</f>
        <v/>
      </c>
    </row>
    <row r="643" customFormat="false" ht="15" hidden="false" customHeight="false" outlineLevel="0" collapsed="false">
      <c r="C643" s="45" t="str">
        <f aca="false">IF(B643="","",IFERROR(VLOOKUP(B643,Features!$A$2:$C$200,3,FALSE()),""))</f>
        <v/>
      </c>
    </row>
    <row r="644" customFormat="false" ht="15" hidden="false" customHeight="false" outlineLevel="0" collapsed="false">
      <c r="C644" s="45" t="str">
        <f aca="false">IF(B644="","",IFERROR(VLOOKUP(B644,Features!$A$2:$C$200,3,FALSE()),""))</f>
        <v/>
      </c>
    </row>
    <row r="645" customFormat="false" ht="15" hidden="false" customHeight="false" outlineLevel="0" collapsed="false">
      <c r="C645" s="45" t="str">
        <f aca="false">IF(B645="","",IFERROR(VLOOKUP(B645,Features!$A$2:$C$200,3,FALSE()),""))</f>
        <v/>
      </c>
    </row>
    <row r="646" customFormat="false" ht="15" hidden="false" customHeight="false" outlineLevel="0" collapsed="false">
      <c r="C646" s="45" t="str">
        <f aca="false">IF(B646="","",IFERROR(VLOOKUP(B646,Features!$A$2:$C$200,3,FALSE()),""))</f>
        <v/>
      </c>
    </row>
    <row r="647" customFormat="false" ht="15" hidden="false" customHeight="false" outlineLevel="0" collapsed="false">
      <c r="C647" s="45" t="str">
        <f aca="false">IF(B647="","",IFERROR(VLOOKUP(B647,Features!$A$2:$C$200,3,FALSE()),""))</f>
        <v/>
      </c>
    </row>
    <row r="648" customFormat="false" ht="15" hidden="false" customHeight="false" outlineLevel="0" collapsed="false">
      <c r="C648" s="45" t="str">
        <f aca="false">IF(B648="","",IFERROR(VLOOKUP(B648,Features!$A$2:$C$200,3,FALSE()),""))</f>
        <v/>
      </c>
    </row>
    <row r="649" customFormat="false" ht="15" hidden="false" customHeight="false" outlineLevel="0" collapsed="false">
      <c r="C649" s="45" t="str">
        <f aca="false">IF(B649="","",IFERROR(VLOOKUP(B649,Features!$A$2:$C$200,3,FALSE()),""))</f>
        <v/>
      </c>
    </row>
    <row r="650" customFormat="false" ht="15" hidden="false" customHeight="false" outlineLevel="0" collapsed="false">
      <c r="C650" s="45" t="str">
        <f aca="false">IF(B650="","",IFERROR(VLOOKUP(B650,Features!$A$2:$C$200,3,FALSE()),""))</f>
        <v/>
      </c>
    </row>
    <row r="651" customFormat="false" ht="15" hidden="false" customHeight="false" outlineLevel="0" collapsed="false">
      <c r="C651" s="45" t="str">
        <f aca="false">IF(B651="","",IFERROR(VLOOKUP(B651,Features!$A$2:$C$200,3,FALSE()),""))</f>
        <v/>
      </c>
    </row>
    <row r="652" customFormat="false" ht="15" hidden="false" customHeight="false" outlineLevel="0" collapsed="false">
      <c r="C652" s="45" t="str">
        <f aca="false">IF(B652="","",IFERROR(VLOOKUP(B652,Features!$A$2:$C$200,3,FALSE()),""))</f>
        <v/>
      </c>
    </row>
    <row r="653" customFormat="false" ht="15" hidden="false" customHeight="false" outlineLevel="0" collapsed="false">
      <c r="C653" s="45" t="str">
        <f aca="false">IF(B653="","",IFERROR(VLOOKUP(B653,Features!$A$2:$C$200,3,FALSE()),""))</f>
        <v/>
      </c>
    </row>
    <row r="654" customFormat="false" ht="15" hidden="false" customHeight="false" outlineLevel="0" collapsed="false">
      <c r="C654" s="45" t="str">
        <f aca="false">IF(B654="","",IFERROR(VLOOKUP(B654,Features!$A$2:$C$200,3,FALSE()),""))</f>
        <v/>
      </c>
    </row>
    <row r="655" customFormat="false" ht="15" hidden="false" customHeight="false" outlineLevel="0" collapsed="false">
      <c r="C655" s="45" t="str">
        <f aca="false">IF(B655="","",IFERROR(VLOOKUP(B655,Features!$A$2:$C$200,3,FALSE()),""))</f>
        <v/>
      </c>
    </row>
    <row r="656" customFormat="false" ht="15" hidden="false" customHeight="false" outlineLevel="0" collapsed="false">
      <c r="C656" s="45" t="str">
        <f aca="false">IF(B656="","",IFERROR(VLOOKUP(B656,Features!$A$2:$C$200,3,FALSE()),""))</f>
        <v/>
      </c>
    </row>
    <row r="657" customFormat="false" ht="15" hidden="false" customHeight="false" outlineLevel="0" collapsed="false">
      <c r="C657" s="45" t="str">
        <f aca="false">IF(B657="","",IFERROR(VLOOKUP(B657,Features!$A$2:$C$200,3,FALSE()),""))</f>
        <v/>
      </c>
    </row>
    <row r="658" customFormat="false" ht="15" hidden="false" customHeight="false" outlineLevel="0" collapsed="false">
      <c r="C658" s="45" t="str">
        <f aca="false">IF(B658="","",IFERROR(VLOOKUP(B658,Features!$A$2:$C$200,3,FALSE()),""))</f>
        <v/>
      </c>
    </row>
    <row r="659" customFormat="false" ht="15" hidden="false" customHeight="false" outlineLevel="0" collapsed="false">
      <c r="C659" s="45" t="str">
        <f aca="false">IF(B659="","",IFERROR(VLOOKUP(B659,Features!$A$2:$C$200,3,FALSE()),""))</f>
        <v/>
      </c>
    </row>
    <row r="660" customFormat="false" ht="15" hidden="false" customHeight="false" outlineLevel="0" collapsed="false">
      <c r="C660" s="45" t="str">
        <f aca="false">IF(B660="","",IFERROR(VLOOKUP(B660,Features!$A$2:$C$200,3,FALSE()),""))</f>
        <v/>
      </c>
    </row>
    <row r="661" customFormat="false" ht="15" hidden="false" customHeight="false" outlineLevel="0" collapsed="false">
      <c r="C661" s="45" t="str">
        <f aca="false">IF(B661="","",IFERROR(VLOOKUP(B661,Features!$A$2:$C$200,3,FALSE()),""))</f>
        <v/>
      </c>
    </row>
    <row r="662" customFormat="false" ht="15" hidden="false" customHeight="false" outlineLevel="0" collapsed="false">
      <c r="C662" s="45" t="str">
        <f aca="false">IF(B662="","",IFERROR(VLOOKUP(B662,Features!$A$2:$C$200,3,FALSE()),""))</f>
        <v/>
      </c>
    </row>
    <row r="663" customFormat="false" ht="15" hidden="false" customHeight="false" outlineLevel="0" collapsed="false">
      <c r="C663" s="45" t="str">
        <f aca="false">IF(B663="","",IFERROR(VLOOKUP(B663,Features!$A$2:$C$200,3,FALSE()),""))</f>
        <v/>
      </c>
    </row>
    <row r="664" customFormat="false" ht="15" hidden="false" customHeight="false" outlineLevel="0" collapsed="false">
      <c r="C664" s="45" t="str">
        <f aca="false">IF(B664="","",IFERROR(VLOOKUP(B664,Features!$A$2:$C$200,3,FALSE()),""))</f>
        <v/>
      </c>
    </row>
    <row r="665" customFormat="false" ht="15" hidden="false" customHeight="false" outlineLevel="0" collapsed="false">
      <c r="C665" s="45" t="str">
        <f aca="false">IF(B665="","",IFERROR(VLOOKUP(B665,Features!$A$2:$C$200,3,FALSE()),""))</f>
        <v/>
      </c>
    </row>
    <row r="666" customFormat="false" ht="15" hidden="false" customHeight="false" outlineLevel="0" collapsed="false">
      <c r="C666" s="45" t="str">
        <f aca="false">IF(B666="","",IFERROR(VLOOKUP(B666,Features!$A$2:$C$200,3,FALSE()),""))</f>
        <v/>
      </c>
    </row>
    <row r="667" customFormat="false" ht="15" hidden="false" customHeight="false" outlineLevel="0" collapsed="false">
      <c r="C667" s="45" t="str">
        <f aca="false">IF(B667="","",IFERROR(VLOOKUP(B667,Features!$A$2:$C$200,3,FALSE()),""))</f>
        <v/>
      </c>
    </row>
    <row r="668" customFormat="false" ht="15" hidden="false" customHeight="false" outlineLevel="0" collapsed="false">
      <c r="C668" s="45" t="str">
        <f aca="false">IF(B668="","",IFERROR(VLOOKUP(B668,Features!$A$2:$C$200,3,FALSE()),""))</f>
        <v/>
      </c>
    </row>
    <row r="669" customFormat="false" ht="15" hidden="false" customHeight="false" outlineLevel="0" collapsed="false">
      <c r="C669" s="45" t="str">
        <f aca="false">IF(B669="","",IFERROR(VLOOKUP(B669,Features!$A$2:$C$200,3,FALSE()),""))</f>
        <v/>
      </c>
    </row>
    <row r="670" customFormat="false" ht="15" hidden="false" customHeight="false" outlineLevel="0" collapsed="false">
      <c r="C670" s="45" t="str">
        <f aca="false">IF(B670="","",IFERROR(VLOOKUP(B670,Features!$A$2:$C$200,3,FALSE()),""))</f>
        <v/>
      </c>
    </row>
    <row r="671" customFormat="false" ht="15" hidden="false" customHeight="false" outlineLevel="0" collapsed="false">
      <c r="C671" s="45" t="str">
        <f aca="false">IF(B671="","",IFERROR(VLOOKUP(B671,Features!$A$2:$C$200,3,FALSE()),""))</f>
        <v/>
      </c>
    </row>
    <row r="672" customFormat="false" ht="15" hidden="false" customHeight="false" outlineLevel="0" collapsed="false">
      <c r="C672" s="45" t="str">
        <f aca="false">IF(B672="","",IFERROR(VLOOKUP(B672,Features!$A$2:$C$200,3,FALSE()),""))</f>
        <v/>
      </c>
    </row>
    <row r="673" customFormat="false" ht="15" hidden="false" customHeight="false" outlineLevel="0" collapsed="false">
      <c r="C673" s="45" t="str">
        <f aca="false">IF(B673="","",IFERROR(VLOOKUP(B673,Features!$A$2:$C$200,3,FALSE()),""))</f>
        <v/>
      </c>
    </row>
    <row r="674" customFormat="false" ht="15" hidden="false" customHeight="false" outlineLevel="0" collapsed="false">
      <c r="C674" s="45" t="str">
        <f aca="false">IF(B674="","",IFERROR(VLOOKUP(B674,Features!$A$2:$C$200,3,FALSE()),""))</f>
        <v/>
      </c>
    </row>
    <row r="675" customFormat="false" ht="15" hidden="false" customHeight="false" outlineLevel="0" collapsed="false">
      <c r="C675" s="45" t="str">
        <f aca="false">IF(B675="","",IFERROR(VLOOKUP(B675,Features!$A$2:$C$200,3,FALSE()),""))</f>
        <v/>
      </c>
    </row>
    <row r="676" customFormat="false" ht="15" hidden="false" customHeight="false" outlineLevel="0" collapsed="false">
      <c r="C676" s="45" t="str">
        <f aca="false">IF(B676="","",IFERROR(VLOOKUP(B676,Features!$A$2:$C$200,3,FALSE()),""))</f>
        <v/>
      </c>
    </row>
    <row r="677" customFormat="false" ht="15" hidden="false" customHeight="false" outlineLevel="0" collapsed="false">
      <c r="C677" s="45" t="str">
        <f aca="false">IF(B677="","",IFERROR(VLOOKUP(B677,Features!$A$2:$C$200,3,FALSE()),""))</f>
        <v/>
      </c>
    </row>
    <row r="678" customFormat="false" ht="15" hidden="false" customHeight="false" outlineLevel="0" collapsed="false">
      <c r="C678" s="45" t="str">
        <f aca="false">IF(B678="","",IFERROR(VLOOKUP(B678,Features!$A$2:$C$200,3,FALSE()),""))</f>
        <v/>
      </c>
    </row>
    <row r="679" customFormat="false" ht="15" hidden="false" customHeight="false" outlineLevel="0" collapsed="false">
      <c r="C679" s="45" t="str">
        <f aca="false">IF(B679="","",IFERROR(VLOOKUP(B679,Features!$A$2:$C$200,3,FALSE()),""))</f>
        <v/>
      </c>
    </row>
    <row r="680" customFormat="false" ht="15" hidden="false" customHeight="false" outlineLevel="0" collapsed="false">
      <c r="C680" s="45" t="str">
        <f aca="false">IF(B680="","",IFERROR(VLOOKUP(B680,Features!$A$2:$C$200,3,FALSE()),""))</f>
        <v/>
      </c>
    </row>
    <row r="681" customFormat="false" ht="15" hidden="false" customHeight="false" outlineLevel="0" collapsed="false">
      <c r="C681" s="45" t="str">
        <f aca="false">IF(B681="","",IFERROR(VLOOKUP(B681,Features!$A$2:$C$200,3,FALSE()),""))</f>
        <v/>
      </c>
    </row>
    <row r="682" customFormat="false" ht="15" hidden="false" customHeight="false" outlineLevel="0" collapsed="false">
      <c r="C682" s="45" t="str">
        <f aca="false">IF(B682="","",IFERROR(VLOOKUP(B682,Features!$A$2:$C$200,3,FALSE()),""))</f>
        <v/>
      </c>
    </row>
    <row r="683" customFormat="false" ht="15" hidden="false" customHeight="false" outlineLevel="0" collapsed="false">
      <c r="C683" s="45" t="str">
        <f aca="false">IF(B683="","",IFERROR(VLOOKUP(B683,Features!$A$2:$C$200,3,FALSE()),""))</f>
        <v/>
      </c>
    </row>
    <row r="684" customFormat="false" ht="15" hidden="false" customHeight="false" outlineLevel="0" collapsed="false">
      <c r="C684" s="45" t="str">
        <f aca="false">IF(B684="","",IFERROR(VLOOKUP(B684,Features!$A$2:$C$200,3,FALSE()),""))</f>
        <v/>
      </c>
    </row>
    <row r="685" customFormat="false" ht="15" hidden="false" customHeight="false" outlineLevel="0" collapsed="false">
      <c r="C685" s="45" t="str">
        <f aca="false">IF(B685="","",IFERROR(VLOOKUP(B685,Features!$A$2:$C$200,3,FALSE()),""))</f>
        <v/>
      </c>
    </row>
    <row r="686" customFormat="false" ht="15" hidden="false" customHeight="false" outlineLevel="0" collapsed="false">
      <c r="C686" s="45" t="str">
        <f aca="false">IF(B686="","",IFERROR(VLOOKUP(B686,Features!$A$2:$C$200,3,FALSE()),""))</f>
        <v/>
      </c>
    </row>
    <row r="687" customFormat="false" ht="15" hidden="false" customHeight="false" outlineLevel="0" collapsed="false">
      <c r="C687" s="45" t="str">
        <f aca="false">IF(B687="","",IFERROR(VLOOKUP(B687,Features!$A$2:$C$200,3,FALSE()),""))</f>
        <v/>
      </c>
    </row>
    <row r="688" customFormat="false" ht="15" hidden="false" customHeight="false" outlineLevel="0" collapsed="false">
      <c r="C688" s="45" t="str">
        <f aca="false">IF(B688="","",IFERROR(VLOOKUP(B688,Features!$A$2:$C$200,3,FALSE()),""))</f>
        <v/>
      </c>
    </row>
    <row r="689" customFormat="false" ht="15" hidden="false" customHeight="false" outlineLevel="0" collapsed="false">
      <c r="C689" s="45" t="str">
        <f aca="false">IF(B689="","",IFERROR(VLOOKUP(B689,Features!$A$2:$C$200,3,FALSE()),""))</f>
        <v/>
      </c>
    </row>
    <row r="690" customFormat="false" ht="15" hidden="false" customHeight="false" outlineLevel="0" collapsed="false">
      <c r="C690" s="45" t="str">
        <f aca="false">IF(B690="","",IFERROR(VLOOKUP(B690,Features!$A$2:$C$200,3,FALSE()),""))</f>
        <v/>
      </c>
    </row>
    <row r="691" customFormat="false" ht="15" hidden="false" customHeight="false" outlineLevel="0" collapsed="false">
      <c r="C691" s="45" t="str">
        <f aca="false">IF(B691="","",IFERROR(VLOOKUP(B691,Features!$A$2:$C$200,3,FALSE()),""))</f>
        <v/>
      </c>
    </row>
    <row r="692" customFormat="false" ht="15" hidden="false" customHeight="false" outlineLevel="0" collapsed="false">
      <c r="C692" s="45" t="str">
        <f aca="false">IF(B692="","",IFERROR(VLOOKUP(B692,Features!$A$2:$C$200,3,FALSE()),""))</f>
        <v/>
      </c>
    </row>
    <row r="693" customFormat="false" ht="15" hidden="false" customHeight="false" outlineLevel="0" collapsed="false">
      <c r="C693" s="45" t="str">
        <f aca="false">IF(B693="","",IFERROR(VLOOKUP(B693,Features!$A$2:$C$200,3,FALSE()),""))</f>
        <v/>
      </c>
    </row>
    <row r="694" customFormat="false" ht="15" hidden="false" customHeight="false" outlineLevel="0" collapsed="false">
      <c r="C694" s="45" t="str">
        <f aca="false">IF(B694="","",IFERROR(VLOOKUP(B694,Features!$A$2:$C$200,3,FALSE()),""))</f>
        <v/>
      </c>
    </row>
    <row r="695" customFormat="false" ht="15" hidden="false" customHeight="false" outlineLevel="0" collapsed="false">
      <c r="C695" s="45" t="str">
        <f aca="false">IF(B695="","",IFERROR(VLOOKUP(B695,Features!$A$2:$C$200,3,FALSE()),""))</f>
        <v/>
      </c>
    </row>
    <row r="696" customFormat="false" ht="15" hidden="false" customHeight="false" outlineLevel="0" collapsed="false">
      <c r="C696" s="45" t="str">
        <f aca="false">IF(B696="","",IFERROR(VLOOKUP(B696,Features!$A$2:$C$200,3,FALSE()),""))</f>
        <v/>
      </c>
    </row>
    <row r="697" customFormat="false" ht="15" hidden="false" customHeight="false" outlineLevel="0" collapsed="false">
      <c r="C697" s="45" t="str">
        <f aca="false">IF(B697="","",IFERROR(VLOOKUP(B697,Features!$A$2:$C$200,3,FALSE()),""))</f>
        <v/>
      </c>
    </row>
    <row r="698" customFormat="false" ht="15" hidden="false" customHeight="false" outlineLevel="0" collapsed="false">
      <c r="C698" s="45" t="str">
        <f aca="false">IF(B698="","",IFERROR(VLOOKUP(B698,Features!$A$2:$C$200,3,FALSE()),""))</f>
        <v/>
      </c>
    </row>
    <row r="699" customFormat="false" ht="15" hidden="false" customHeight="false" outlineLevel="0" collapsed="false">
      <c r="C699" s="45" t="str">
        <f aca="false">IF(B699="","",IFERROR(VLOOKUP(B699,Features!$A$2:$C$200,3,FALSE()),""))</f>
        <v/>
      </c>
    </row>
    <row r="700" customFormat="false" ht="15" hidden="false" customHeight="false" outlineLevel="0" collapsed="false">
      <c r="C700" s="45" t="str">
        <f aca="false">IF(B700="","",IFERROR(VLOOKUP(B700,Features!$A$2:$C$200,3,FALSE()),""))</f>
        <v/>
      </c>
    </row>
    <row r="701" customFormat="false" ht="15" hidden="false" customHeight="false" outlineLevel="0" collapsed="false">
      <c r="C701" s="45" t="str">
        <f aca="false">IF(B701="","",IFERROR(VLOOKUP(B701,Features!$A$2:$C$200,3,FALSE()),""))</f>
        <v/>
      </c>
    </row>
    <row r="702" customFormat="false" ht="15" hidden="false" customHeight="false" outlineLevel="0" collapsed="false">
      <c r="C702" s="45" t="str">
        <f aca="false">IF(B702="","",IFERROR(VLOOKUP(B702,Features!$A$2:$C$200,3,FALSE()),""))</f>
        <v/>
      </c>
    </row>
    <row r="703" customFormat="false" ht="15" hidden="false" customHeight="false" outlineLevel="0" collapsed="false">
      <c r="C703" s="45" t="str">
        <f aca="false">IF(B703="","",IFERROR(VLOOKUP(B703,Features!$A$2:$C$200,3,FALSE()),""))</f>
        <v/>
      </c>
    </row>
    <row r="704" customFormat="false" ht="15" hidden="false" customHeight="false" outlineLevel="0" collapsed="false">
      <c r="C704" s="45" t="str">
        <f aca="false">IF(B704="","",IFERROR(VLOOKUP(B704,Features!$A$2:$C$200,3,FALSE()),""))</f>
        <v/>
      </c>
    </row>
    <row r="705" customFormat="false" ht="15" hidden="false" customHeight="false" outlineLevel="0" collapsed="false">
      <c r="C705" s="45" t="str">
        <f aca="false">IF(B705="","",IFERROR(VLOOKUP(B705,Features!$A$2:$C$200,3,FALSE()),""))</f>
        <v/>
      </c>
    </row>
    <row r="706" customFormat="false" ht="15" hidden="false" customHeight="false" outlineLevel="0" collapsed="false">
      <c r="C706" s="45" t="str">
        <f aca="false">IF(B706="","",IFERROR(VLOOKUP(B706,Features!$A$2:$C$200,3,FALSE()),""))</f>
        <v/>
      </c>
    </row>
    <row r="707" customFormat="false" ht="15" hidden="false" customHeight="false" outlineLevel="0" collapsed="false">
      <c r="C707" s="45" t="str">
        <f aca="false">IF(B707="","",IFERROR(VLOOKUP(B707,Features!$A$2:$C$200,3,FALSE()),""))</f>
        <v/>
      </c>
    </row>
    <row r="708" customFormat="false" ht="15" hidden="false" customHeight="false" outlineLevel="0" collapsed="false">
      <c r="C708" s="45" t="str">
        <f aca="false">IF(B708="","",IFERROR(VLOOKUP(B708,Features!$A$2:$C$200,3,FALSE()),""))</f>
        <v/>
      </c>
    </row>
    <row r="709" customFormat="false" ht="15" hidden="false" customHeight="false" outlineLevel="0" collapsed="false">
      <c r="C709" s="45" t="str">
        <f aca="false">IF(B709="","",IFERROR(VLOOKUP(B709,Features!$A$2:$C$200,3,FALSE()),""))</f>
        <v/>
      </c>
    </row>
    <row r="710" customFormat="false" ht="15" hidden="false" customHeight="false" outlineLevel="0" collapsed="false">
      <c r="C710" s="45" t="str">
        <f aca="false">IF(B710="","",IFERROR(VLOOKUP(B710,Features!$A$2:$C$200,3,FALSE()),""))</f>
        <v/>
      </c>
    </row>
    <row r="711" customFormat="false" ht="15" hidden="false" customHeight="false" outlineLevel="0" collapsed="false">
      <c r="C711" s="45" t="str">
        <f aca="false">IF(B711="","",IFERROR(VLOOKUP(B711,Features!$A$2:$C$200,3,FALSE()),""))</f>
        <v/>
      </c>
    </row>
    <row r="712" customFormat="false" ht="15" hidden="false" customHeight="false" outlineLevel="0" collapsed="false">
      <c r="C712" s="45" t="str">
        <f aca="false">IF(B712="","",IFERROR(VLOOKUP(B712,Features!$A$2:$C$200,3,FALSE()),""))</f>
        <v/>
      </c>
    </row>
    <row r="713" customFormat="false" ht="15" hidden="false" customHeight="false" outlineLevel="0" collapsed="false">
      <c r="C713" s="45" t="str">
        <f aca="false">IF(B713="","",IFERROR(VLOOKUP(B713,Features!$A$2:$C$200,3,FALSE()),""))</f>
        <v/>
      </c>
    </row>
    <row r="714" customFormat="false" ht="15" hidden="false" customHeight="false" outlineLevel="0" collapsed="false">
      <c r="C714" s="45" t="str">
        <f aca="false">IF(B714="","",IFERROR(VLOOKUP(B714,Features!$A$2:$C$200,3,FALSE()),""))</f>
        <v/>
      </c>
    </row>
    <row r="715" customFormat="false" ht="15" hidden="false" customHeight="false" outlineLevel="0" collapsed="false">
      <c r="C715" s="45" t="str">
        <f aca="false">IF(B715="","",IFERROR(VLOOKUP(B715,Features!$A$2:$C$200,3,FALSE()),""))</f>
        <v/>
      </c>
    </row>
    <row r="716" customFormat="false" ht="15" hidden="false" customHeight="false" outlineLevel="0" collapsed="false">
      <c r="C716" s="45" t="str">
        <f aca="false">IF(B716="","",IFERROR(VLOOKUP(B716,Features!$A$2:$C$200,3,FALSE()),""))</f>
        <v/>
      </c>
    </row>
    <row r="717" customFormat="false" ht="15" hidden="false" customHeight="false" outlineLevel="0" collapsed="false">
      <c r="C717" s="45" t="str">
        <f aca="false">IF(B717="","",IFERROR(VLOOKUP(B717,Features!$A$2:$C$200,3,FALSE()),""))</f>
        <v/>
      </c>
    </row>
    <row r="718" customFormat="false" ht="15" hidden="false" customHeight="false" outlineLevel="0" collapsed="false">
      <c r="C718" s="45" t="str">
        <f aca="false">IF(B718="","",IFERROR(VLOOKUP(B718,Features!$A$2:$C$200,3,FALSE()),""))</f>
        <v/>
      </c>
    </row>
    <row r="719" customFormat="false" ht="15" hidden="false" customHeight="false" outlineLevel="0" collapsed="false">
      <c r="C719" s="45" t="str">
        <f aca="false">IF(B719="","",IFERROR(VLOOKUP(B719,Features!$A$2:$C$200,3,FALSE()),""))</f>
        <v/>
      </c>
    </row>
    <row r="720" customFormat="false" ht="15" hidden="false" customHeight="false" outlineLevel="0" collapsed="false">
      <c r="C720" s="45" t="str">
        <f aca="false">IF(B720="","",IFERROR(VLOOKUP(B720,Features!$A$2:$C$200,3,FALSE()),""))</f>
        <v/>
      </c>
    </row>
    <row r="721" customFormat="false" ht="15" hidden="false" customHeight="false" outlineLevel="0" collapsed="false">
      <c r="C721" s="45" t="str">
        <f aca="false">IF(B721="","",IFERROR(VLOOKUP(B721,Features!$A$2:$C$200,3,FALSE()),""))</f>
        <v/>
      </c>
    </row>
    <row r="722" customFormat="false" ht="15" hidden="false" customHeight="false" outlineLevel="0" collapsed="false">
      <c r="C722" s="45" t="str">
        <f aca="false">IF(B722="","",IFERROR(VLOOKUP(B722,Features!$A$2:$C$200,3,FALSE()),""))</f>
        <v/>
      </c>
    </row>
    <row r="723" customFormat="false" ht="15" hidden="false" customHeight="false" outlineLevel="0" collapsed="false">
      <c r="C723" s="45" t="str">
        <f aca="false">IF(B723="","",IFERROR(VLOOKUP(B723,Features!$A$2:$C$200,3,FALSE()),""))</f>
        <v/>
      </c>
    </row>
    <row r="724" customFormat="false" ht="15" hidden="false" customHeight="false" outlineLevel="0" collapsed="false">
      <c r="C724" s="45" t="str">
        <f aca="false">IF(B724="","",IFERROR(VLOOKUP(B724,Features!$A$2:$C$200,3,FALSE()),""))</f>
        <v/>
      </c>
    </row>
    <row r="725" customFormat="false" ht="15" hidden="false" customHeight="false" outlineLevel="0" collapsed="false">
      <c r="C725" s="45" t="str">
        <f aca="false">IF(B725="","",IFERROR(VLOOKUP(B725,Features!$A$2:$C$200,3,FALSE()),""))</f>
        <v/>
      </c>
    </row>
    <row r="726" customFormat="false" ht="15" hidden="false" customHeight="false" outlineLevel="0" collapsed="false">
      <c r="C726" s="45" t="str">
        <f aca="false">IF(B726="","",IFERROR(VLOOKUP(B726,Features!$A$2:$C$200,3,FALSE()),""))</f>
        <v/>
      </c>
    </row>
    <row r="727" customFormat="false" ht="15" hidden="false" customHeight="false" outlineLevel="0" collapsed="false">
      <c r="C727" s="45" t="str">
        <f aca="false">IF(B727="","",IFERROR(VLOOKUP(B727,Features!$A$2:$C$200,3,FALSE()),""))</f>
        <v/>
      </c>
    </row>
    <row r="728" customFormat="false" ht="15" hidden="false" customHeight="false" outlineLevel="0" collapsed="false">
      <c r="C728" s="45" t="str">
        <f aca="false">IF(B728="","",IFERROR(VLOOKUP(B728,Features!$A$2:$C$200,3,FALSE()),""))</f>
        <v/>
      </c>
    </row>
    <row r="729" customFormat="false" ht="15" hidden="false" customHeight="false" outlineLevel="0" collapsed="false">
      <c r="C729" s="45" t="str">
        <f aca="false">IF(B729="","",IFERROR(VLOOKUP(B729,Features!$A$2:$C$200,3,FALSE()),""))</f>
        <v/>
      </c>
    </row>
    <row r="730" customFormat="false" ht="15" hidden="false" customHeight="false" outlineLevel="0" collapsed="false">
      <c r="C730" s="45" t="str">
        <f aca="false">IF(B730="","",IFERROR(VLOOKUP(B730,Features!$A$2:$C$200,3,FALSE()),""))</f>
        <v/>
      </c>
    </row>
    <row r="731" customFormat="false" ht="15" hidden="false" customHeight="false" outlineLevel="0" collapsed="false">
      <c r="C731" s="45" t="str">
        <f aca="false">IF(B731="","",IFERROR(VLOOKUP(B731,Features!$A$2:$C$200,3,FALSE()),""))</f>
        <v/>
      </c>
    </row>
    <row r="732" customFormat="false" ht="15" hidden="false" customHeight="false" outlineLevel="0" collapsed="false">
      <c r="C732" s="45" t="str">
        <f aca="false">IF(B732="","",IFERROR(VLOOKUP(B732,Features!$A$2:$C$200,3,FALSE()),""))</f>
        <v/>
      </c>
    </row>
    <row r="733" customFormat="false" ht="15" hidden="false" customHeight="false" outlineLevel="0" collapsed="false">
      <c r="C733" s="45" t="str">
        <f aca="false">IF(B733="","",IFERROR(VLOOKUP(B733,Features!$A$2:$C$200,3,FALSE()),""))</f>
        <v/>
      </c>
    </row>
    <row r="734" customFormat="false" ht="15" hidden="false" customHeight="false" outlineLevel="0" collapsed="false">
      <c r="C734" s="45" t="str">
        <f aca="false">IF(B734="","",IFERROR(VLOOKUP(B734,Features!$A$2:$C$200,3,FALSE()),""))</f>
        <v/>
      </c>
    </row>
    <row r="735" customFormat="false" ht="15" hidden="false" customHeight="false" outlineLevel="0" collapsed="false">
      <c r="C735" s="45" t="str">
        <f aca="false">IF(B735="","",IFERROR(VLOOKUP(B735,Features!$A$2:$C$200,3,FALSE()),""))</f>
        <v/>
      </c>
    </row>
    <row r="736" customFormat="false" ht="15" hidden="false" customHeight="false" outlineLevel="0" collapsed="false">
      <c r="C736" s="45" t="str">
        <f aca="false">IF(B736="","",IFERROR(VLOOKUP(B736,Features!$A$2:$C$200,3,FALSE()),""))</f>
        <v/>
      </c>
    </row>
    <row r="737" customFormat="false" ht="15" hidden="false" customHeight="false" outlineLevel="0" collapsed="false">
      <c r="C737" s="45" t="str">
        <f aca="false">IF(B737="","",IFERROR(VLOOKUP(B737,Features!$A$2:$C$200,3,FALSE()),""))</f>
        <v/>
      </c>
    </row>
    <row r="738" customFormat="false" ht="15" hidden="false" customHeight="false" outlineLevel="0" collapsed="false">
      <c r="C738" s="45" t="str">
        <f aca="false">IF(B738="","",IFERROR(VLOOKUP(B738,Features!$A$2:$C$200,3,FALSE()),""))</f>
        <v/>
      </c>
    </row>
    <row r="739" customFormat="false" ht="15" hidden="false" customHeight="false" outlineLevel="0" collapsed="false">
      <c r="C739" s="45" t="str">
        <f aca="false">IF(B739="","",IFERROR(VLOOKUP(B739,Features!$A$2:$C$200,3,FALSE()),""))</f>
        <v/>
      </c>
    </row>
    <row r="740" customFormat="false" ht="15" hidden="false" customHeight="false" outlineLevel="0" collapsed="false">
      <c r="C740" s="45" t="str">
        <f aca="false">IF(B740="","",IFERROR(VLOOKUP(B740,Features!$A$2:$C$200,3,FALSE()),""))</f>
        <v/>
      </c>
    </row>
    <row r="741" customFormat="false" ht="15" hidden="false" customHeight="false" outlineLevel="0" collapsed="false">
      <c r="C741" s="45" t="str">
        <f aca="false">IF(B741="","",IFERROR(VLOOKUP(B741,Features!$A$2:$C$200,3,FALSE()),""))</f>
        <v/>
      </c>
    </row>
    <row r="742" customFormat="false" ht="15" hidden="false" customHeight="false" outlineLevel="0" collapsed="false">
      <c r="C742" s="45" t="str">
        <f aca="false">IF(B742="","",IFERROR(VLOOKUP(B742,Features!$A$2:$C$200,3,FALSE()),""))</f>
        <v/>
      </c>
    </row>
    <row r="743" customFormat="false" ht="15" hidden="false" customHeight="false" outlineLevel="0" collapsed="false">
      <c r="C743" s="45" t="str">
        <f aca="false">IF(B743="","",IFERROR(VLOOKUP(B743,Features!$A$2:$C$200,3,FALSE()),""))</f>
        <v/>
      </c>
    </row>
    <row r="744" customFormat="false" ht="15" hidden="false" customHeight="false" outlineLevel="0" collapsed="false">
      <c r="C744" s="45" t="str">
        <f aca="false">IF(B744="","",IFERROR(VLOOKUP(B744,Features!$A$2:$C$200,3,FALSE()),""))</f>
        <v/>
      </c>
    </row>
    <row r="745" customFormat="false" ht="15" hidden="false" customHeight="false" outlineLevel="0" collapsed="false">
      <c r="C745" s="45" t="str">
        <f aca="false">IF(B745="","",IFERROR(VLOOKUP(B745,Features!$A$2:$C$200,3,FALSE()),""))</f>
        <v/>
      </c>
    </row>
    <row r="746" customFormat="false" ht="15" hidden="false" customHeight="false" outlineLevel="0" collapsed="false">
      <c r="C746" s="45" t="str">
        <f aca="false">IF(B746="","",IFERROR(VLOOKUP(B746,Features!$A$2:$C$200,3,FALSE()),""))</f>
        <v/>
      </c>
    </row>
    <row r="747" customFormat="false" ht="15" hidden="false" customHeight="false" outlineLevel="0" collapsed="false">
      <c r="C747" s="45" t="str">
        <f aca="false">IF(B747="","",IFERROR(VLOOKUP(B747,Features!$A$2:$C$200,3,FALSE()),""))</f>
        <v/>
      </c>
    </row>
    <row r="748" customFormat="false" ht="15" hidden="false" customHeight="false" outlineLevel="0" collapsed="false">
      <c r="C748" s="45" t="str">
        <f aca="false">IF(B748="","",IFERROR(VLOOKUP(B748,Features!$A$2:$C$200,3,FALSE()),""))</f>
        <v/>
      </c>
    </row>
    <row r="749" customFormat="false" ht="15" hidden="false" customHeight="false" outlineLevel="0" collapsed="false">
      <c r="C749" s="45" t="str">
        <f aca="false">IF(B749="","",IFERROR(VLOOKUP(B749,Features!$A$2:$C$200,3,FALSE()),""))</f>
        <v/>
      </c>
    </row>
    <row r="750" customFormat="false" ht="15" hidden="false" customHeight="false" outlineLevel="0" collapsed="false">
      <c r="C750" s="45" t="str">
        <f aca="false">IF(B750="","",IFERROR(VLOOKUP(B750,Features!$A$2:$C$200,3,FALSE()),""))</f>
        <v/>
      </c>
    </row>
    <row r="751" customFormat="false" ht="15" hidden="false" customHeight="false" outlineLevel="0" collapsed="false">
      <c r="C751" s="45" t="str">
        <f aca="false">IF(B751="","",IFERROR(VLOOKUP(B751,Features!$A$2:$C$200,3,FALSE()),""))</f>
        <v/>
      </c>
    </row>
    <row r="752" customFormat="false" ht="15" hidden="false" customHeight="false" outlineLevel="0" collapsed="false">
      <c r="C752" s="45" t="str">
        <f aca="false">IF(B752="","",IFERROR(VLOOKUP(B752,Features!$A$2:$C$200,3,FALSE()),""))</f>
        <v/>
      </c>
    </row>
    <row r="753" customFormat="false" ht="15" hidden="false" customHeight="false" outlineLevel="0" collapsed="false">
      <c r="C753" s="45" t="str">
        <f aca="false">IF(B753="","",IFERROR(VLOOKUP(B753,Features!$A$2:$C$200,3,FALSE()),""))</f>
        <v/>
      </c>
    </row>
    <row r="754" customFormat="false" ht="15" hidden="false" customHeight="false" outlineLevel="0" collapsed="false">
      <c r="C754" s="45" t="str">
        <f aca="false">IF(B754="","",IFERROR(VLOOKUP(B754,Features!$A$2:$C$200,3,FALSE()),""))</f>
        <v/>
      </c>
    </row>
    <row r="755" customFormat="false" ht="15" hidden="false" customHeight="false" outlineLevel="0" collapsed="false">
      <c r="C755" s="45" t="str">
        <f aca="false">IF(B755="","",IFERROR(VLOOKUP(B755,Features!$A$2:$C$200,3,FALSE()),""))</f>
        <v/>
      </c>
    </row>
    <row r="756" customFormat="false" ht="15" hidden="false" customHeight="false" outlineLevel="0" collapsed="false">
      <c r="C756" s="45" t="str">
        <f aca="false">IF(B756="","",IFERROR(VLOOKUP(B756,Features!$A$2:$C$200,3,FALSE()),""))</f>
        <v/>
      </c>
    </row>
    <row r="757" customFormat="false" ht="15" hidden="false" customHeight="false" outlineLevel="0" collapsed="false">
      <c r="C757" s="45" t="str">
        <f aca="false">IF(B757="","",IFERROR(VLOOKUP(B757,Features!$A$2:$C$200,3,FALSE()),""))</f>
        <v/>
      </c>
    </row>
    <row r="758" customFormat="false" ht="15" hidden="false" customHeight="false" outlineLevel="0" collapsed="false">
      <c r="C758" s="45" t="str">
        <f aca="false">IF(B758="","",IFERROR(VLOOKUP(B758,Features!$A$2:$C$200,3,FALSE()),""))</f>
        <v/>
      </c>
    </row>
    <row r="759" customFormat="false" ht="15" hidden="false" customHeight="false" outlineLevel="0" collapsed="false">
      <c r="C759" s="45" t="str">
        <f aca="false">IF(B759="","",IFERROR(VLOOKUP(B759,Features!$A$2:$C$200,3,FALSE()),""))</f>
        <v/>
      </c>
    </row>
    <row r="760" customFormat="false" ht="15" hidden="false" customHeight="false" outlineLevel="0" collapsed="false">
      <c r="C760" s="45" t="str">
        <f aca="false">IF(B760="","",IFERROR(VLOOKUP(B760,Features!$A$2:$C$200,3,FALSE()),""))</f>
        <v/>
      </c>
    </row>
    <row r="761" customFormat="false" ht="15" hidden="false" customHeight="false" outlineLevel="0" collapsed="false">
      <c r="C761" s="45" t="str">
        <f aca="false">IF(B761="","",IFERROR(VLOOKUP(B761,Features!$A$2:$C$200,3,FALSE()),""))</f>
        <v/>
      </c>
    </row>
    <row r="762" customFormat="false" ht="15" hidden="false" customHeight="false" outlineLevel="0" collapsed="false">
      <c r="C762" s="45" t="str">
        <f aca="false">IF(B762="","",IFERROR(VLOOKUP(B762,Features!$A$2:$C$200,3,FALSE()),""))</f>
        <v/>
      </c>
    </row>
    <row r="763" customFormat="false" ht="15" hidden="false" customHeight="false" outlineLevel="0" collapsed="false">
      <c r="C763" s="45" t="str">
        <f aca="false">IF(B763="","",IFERROR(VLOOKUP(B763,Features!$A$2:$C$200,3,FALSE()),""))</f>
        <v/>
      </c>
    </row>
    <row r="764" customFormat="false" ht="15" hidden="false" customHeight="false" outlineLevel="0" collapsed="false">
      <c r="C764" s="45" t="str">
        <f aca="false">IF(B764="","",IFERROR(VLOOKUP(B764,Features!$A$2:$C$200,3,FALSE()),""))</f>
        <v/>
      </c>
    </row>
    <row r="765" customFormat="false" ht="15" hidden="false" customHeight="false" outlineLevel="0" collapsed="false">
      <c r="C765" s="45" t="str">
        <f aca="false">IF(B765="","",IFERROR(VLOOKUP(B765,Features!$A$2:$C$200,3,FALSE()),""))</f>
        <v/>
      </c>
    </row>
    <row r="766" customFormat="false" ht="15" hidden="false" customHeight="false" outlineLevel="0" collapsed="false">
      <c r="C766" s="45" t="str">
        <f aca="false">IF(B766="","",IFERROR(VLOOKUP(B766,Features!$A$2:$C$200,3,FALSE()),""))</f>
        <v/>
      </c>
    </row>
    <row r="767" customFormat="false" ht="15" hidden="false" customHeight="false" outlineLevel="0" collapsed="false">
      <c r="C767" s="45" t="str">
        <f aca="false">IF(B767="","",IFERROR(VLOOKUP(B767,Features!$A$2:$C$200,3,FALSE()),""))</f>
        <v/>
      </c>
    </row>
    <row r="768" customFormat="false" ht="15" hidden="false" customHeight="false" outlineLevel="0" collapsed="false">
      <c r="C768" s="45" t="str">
        <f aca="false">IF(B768="","",IFERROR(VLOOKUP(B768,Features!$A$2:$C$200,3,FALSE()),""))</f>
        <v/>
      </c>
    </row>
    <row r="769" customFormat="false" ht="15" hidden="false" customHeight="false" outlineLevel="0" collapsed="false">
      <c r="C769" s="45" t="str">
        <f aca="false">IF(B769="","",IFERROR(VLOOKUP(B769,Features!$A$2:$C$200,3,FALSE()),""))</f>
        <v/>
      </c>
    </row>
    <row r="770" customFormat="false" ht="15" hidden="false" customHeight="false" outlineLevel="0" collapsed="false">
      <c r="C770" s="45" t="str">
        <f aca="false">IF(B770="","",IFERROR(VLOOKUP(B770,Features!$A$2:$C$200,3,FALSE()),""))</f>
        <v/>
      </c>
    </row>
    <row r="771" customFormat="false" ht="15" hidden="false" customHeight="false" outlineLevel="0" collapsed="false">
      <c r="C771" s="45" t="str">
        <f aca="false">IF(B771="","",IFERROR(VLOOKUP(B771,Features!$A$2:$C$200,3,FALSE()),""))</f>
        <v/>
      </c>
    </row>
    <row r="772" customFormat="false" ht="15" hidden="false" customHeight="false" outlineLevel="0" collapsed="false">
      <c r="C772" s="45" t="str">
        <f aca="false">IF(B772="","",IFERROR(VLOOKUP(B772,Features!$A$2:$C$200,3,FALSE()),""))</f>
        <v/>
      </c>
    </row>
    <row r="773" customFormat="false" ht="15" hidden="false" customHeight="false" outlineLevel="0" collapsed="false">
      <c r="C773" s="45" t="str">
        <f aca="false">IF(B773="","",IFERROR(VLOOKUP(B773,Features!$A$2:$C$200,3,FALSE()),""))</f>
        <v/>
      </c>
    </row>
    <row r="774" customFormat="false" ht="15" hidden="false" customHeight="false" outlineLevel="0" collapsed="false">
      <c r="C774" s="45" t="str">
        <f aca="false">IF(B774="","",IFERROR(VLOOKUP(B774,Features!$A$2:$C$200,3,FALSE()),""))</f>
        <v/>
      </c>
    </row>
    <row r="775" customFormat="false" ht="15" hidden="false" customHeight="false" outlineLevel="0" collapsed="false">
      <c r="C775" s="45" t="str">
        <f aca="false">IF(B775="","",IFERROR(VLOOKUP(B775,Features!$A$2:$C$200,3,FALSE()),""))</f>
        <v/>
      </c>
    </row>
    <row r="776" customFormat="false" ht="15" hidden="false" customHeight="false" outlineLevel="0" collapsed="false">
      <c r="C776" s="45" t="str">
        <f aca="false">IF(B776="","",IFERROR(VLOOKUP(B776,Features!$A$2:$C$200,3,FALSE()),""))</f>
        <v/>
      </c>
    </row>
    <row r="777" customFormat="false" ht="15" hidden="false" customHeight="false" outlineLevel="0" collapsed="false">
      <c r="C777" s="45" t="str">
        <f aca="false">IF(B777="","",IFERROR(VLOOKUP(B777,Features!$A$2:$C$200,3,FALSE()),""))</f>
        <v/>
      </c>
    </row>
    <row r="778" customFormat="false" ht="15" hidden="false" customHeight="false" outlineLevel="0" collapsed="false">
      <c r="C778" s="45" t="str">
        <f aca="false">IF(B778="","",IFERROR(VLOOKUP(B778,Features!$A$2:$C$200,3,FALSE()),""))</f>
        <v/>
      </c>
    </row>
    <row r="779" customFormat="false" ht="15" hidden="false" customHeight="false" outlineLevel="0" collapsed="false">
      <c r="C779" s="45" t="str">
        <f aca="false">IF(B779="","",IFERROR(VLOOKUP(B779,Features!$A$2:$C$200,3,FALSE()),""))</f>
        <v/>
      </c>
    </row>
    <row r="780" customFormat="false" ht="15" hidden="false" customHeight="false" outlineLevel="0" collapsed="false">
      <c r="C780" s="45" t="str">
        <f aca="false">IF(B780="","",IFERROR(VLOOKUP(B780,Features!$A$2:$C$200,3,FALSE()),""))</f>
        <v/>
      </c>
    </row>
    <row r="781" customFormat="false" ht="15" hidden="false" customHeight="false" outlineLevel="0" collapsed="false">
      <c r="C781" s="45" t="str">
        <f aca="false">IF(B781="","",IFERROR(VLOOKUP(B781,Features!$A$2:$C$200,3,FALSE()),""))</f>
        <v/>
      </c>
    </row>
    <row r="782" customFormat="false" ht="15" hidden="false" customHeight="false" outlineLevel="0" collapsed="false">
      <c r="C782" s="45" t="str">
        <f aca="false">IF(B782="","",IFERROR(VLOOKUP(B782,Features!$A$2:$C$200,3,FALSE()),""))</f>
        <v/>
      </c>
    </row>
    <row r="783" customFormat="false" ht="15" hidden="false" customHeight="false" outlineLevel="0" collapsed="false">
      <c r="C783" s="45" t="str">
        <f aca="false">IF(B783="","",IFERROR(VLOOKUP(B783,Features!$A$2:$C$200,3,FALSE()),""))</f>
        <v/>
      </c>
    </row>
    <row r="784" customFormat="false" ht="15" hidden="false" customHeight="false" outlineLevel="0" collapsed="false">
      <c r="C784" s="45" t="str">
        <f aca="false">IF(B784="","",IFERROR(VLOOKUP(B784,Features!$A$2:$C$200,3,FALSE()),""))</f>
        <v/>
      </c>
    </row>
    <row r="785" customFormat="false" ht="15" hidden="false" customHeight="false" outlineLevel="0" collapsed="false">
      <c r="C785" s="45" t="str">
        <f aca="false">IF(B785="","",IFERROR(VLOOKUP(B785,Features!$A$2:$C$200,3,FALSE()),""))</f>
        <v/>
      </c>
    </row>
    <row r="786" customFormat="false" ht="15" hidden="false" customHeight="false" outlineLevel="0" collapsed="false">
      <c r="C786" s="45" t="str">
        <f aca="false">IF(B786="","",IFERROR(VLOOKUP(B786,Features!$A$2:$C$200,3,FALSE()),""))</f>
        <v/>
      </c>
    </row>
    <row r="787" customFormat="false" ht="15" hidden="false" customHeight="false" outlineLevel="0" collapsed="false">
      <c r="C787" s="45" t="str">
        <f aca="false">IF(B787="","",IFERROR(VLOOKUP(B787,Features!$A$2:$C$200,3,FALSE()),""))</f>
        <v/>
      </c>
    </row>
    <row r="788" customFormat="false" ht="15" hidden="false" customHeight="false" outlineLevel="0" collapsed="false">
      <c r="C788" s="45" t="str">
        <f aca="false">IF(B788="","",IFERROR(VLOOKUP(B788,Features!$A$2:$C$200,3,FALSE()),""))</f>
        <v/>
      </c>
    </row>
    <row r="789" customFormat="false" ht="15" hidden="false" customHeight="false" outlineLevel="0" collapsed="false">
      <c r="C789" s="45" t="str">
        <f aca="false">IF(B789="","",IFERROR(VLOOKUP(B789,Features!$A$2:$C$200,3,FALSE()),""))</f>
        <v/>
      </c>
    </row>
    <row r="790" customFormat="false" ht="15" hidden="false" customHeight="false" outlineLevel="0" collapsed="false">
      <c r="C790" s="45" t="str">
        <f aca="false">IF(B790="","",IFERROR(VLOOKUP(B790,Features!$A$2:$C$200,3,FALSE()),""))</f>
        <v/>
      </c>
    </row>
    <row r="791" customFormat="false" ht="15" hidden="false" customHeight="false" outlineLevel="0" collapsed="false">
      <c r="C791" s="45" t="str">
        <f aca="false">IF(B791="","",IFERROR(VLOOKUP(B791,Features!$A$2:$C$200,3,FALSE()),""))</f>
        <v/>
      </c>
    </row>
    <row r="792" customFormat="false" ht="15" hidden="false" customHeight="false" outlineLevel="0" collapsed="false">
      <c r="C792" s="45" t="str">
        <f aca="false">IF(B792="","",IFERROR(VLOOKUP(B792,Features!$A$2:$C$200,3,FALSE()),""))</f>
        <v/>
      </c>
    </row>
    <row r="793" customFormat="false" ht="15" hidden="false" customHeight="false" outlineLevel="0" collapsed="false">
      <c r="C793" s="45" t="str">
        <f aca="false">IF(B793="","",IFERROR(VLOOKUP(B793,Features!$A$2:$C$200,3,FALSE()),""))</f>
        <v/>
      </c>
    </row>
    <row r="794" customFormat="false" ht="15" hidden="false" customHeight="false" outlineLevel="0" collapsed="false">
      <c r="C794" s="45" t="str">
        <f aca="false">IF(B794="","",IFERROR(VLOOKUP(B794,Features!$A$2:$C$200,3,FALSE()),""))</f>
        <v/>
      </c>
    </row>
    <row r="795" customFormat="false" ht="15" hidden="false" customHeight="false" outlineLevel="0" collapsed="false">
      <c r="C795" s="45" t="str">
        <f aca="false">IF(B795="","",IFERROR(VLOOKUP(B795,Features!$A$2:$C$200,3,FALSE()),""))</f>
        <v/>
      </c>
    </row>
    <row r="796" customFormat="false" ht="15" hidden="false" customHeight="false" outlineLevel="0" collapsed="false">
      <c r="C796" s="45" t="str">
        <f aca="false">IF(B796="","",IFERROR(VLOOKUP(B796,Features!$A$2:$C$200,3,FALSE()),""))</f>
        <v/>
      </c>
    </row>
    <row r="797" customFormat="false" ht="15" hidden="false" customHeight="false" outlineLevel="0" collapsed="false">
      <c r="C797" s="45" t="str">
        <f aca="false">IF(B797="","",IFERROR(VLOOKUP(B797,Features!$A$2:$C$200,3,FALSE()),""))</f>
        <v/>
      </c>
    </row>
    <row r="798" customFormat="false" ht="15" hidden="false" customHeight="false" outlineLevel="0" collapsed="false">
      <c r="C798" s="45" t="str">
        <f aca="false">IF(B798="","",IFERROR(VLOOKUP(B798,Features!$A$2:$C$200,3,FALSE()),""))</f>
        <v/>
      </c>
    </row>
    <row r="799" customFormat="false" ht="15" hidden="false" customHeight="false" outlineLevel="0" collapsed="false">
      <c r="C799" s="45" t="str">
        <f aca="false">IF(B799="","",IFERROR(VLOOKUP(B799,Features!$A$2:$C$200,3,FALSE()),""))</f>
        <v/>
      </c>
    </row>
    <row r="800" customFormat="false" ht="15" hidden="false" customHeight="false" outlineLevel="0" collapsed="false">
      <c r="C800" s="45" t="str">
        <f aca="false">IF(B800="","",IFERROR(VLOOKUP(B800,Features!$A$2:$C$200,3,FALSE()),""))</f>
        <v/>
      </c>
    </row>
    <row r="801" customFormat="false" ht="15" hidden="false" customHeight="false" outlineLevel="0" collapsed="false">
      <c r="C801" s="45" t="str">
        <f aca="false">IF(B801="","",IFERROR(VLOOKUP(B801,Features!$A$2:$C$200,3,FALSE()),""))</f>
        <v/>
      </c>
    </row>
    <row r="802" customFormat="false" ht="15" hidden="false" customHeight="false" outlineLevel="0" collapsed="false">
      <c r="C802" s="45" t="str">
        <f aca="false">IF(B802="","",IFERROR(VLOOKUP(B802,Features!$A$2:$C$200,3,FALSE()),""))</f>
        <v/>
      </c>
    </row>
    <row r="803" customFormat="false" ht="15" hidden="false" customHeight="false" outlineLevel="0" collapsed="false">
      <c r="C803" s="45" t="str">
        <f aca="false">IF(B803="","",IFERROR(VLOOKUP(B803,Features!$A$2:$C$200,3,FALSE()),""))</f>
        <v/>
      </c>
    </row>
    <row r="804" customFormat="false" ht="15" hidden="false" customHeight="false" outlineLevel="0" collapsed="false">
      <c r="C804" s="45" t="str">
        <f aca="false">IF(B804="","",IFERROR(VLOOKUP(B804,Features!$A$2:$C$200,3,FALSE()),""))</f>
        <v/>
      </c>
    </row>
    <row r="805" customFormat="false" ht="15" hidden="false" customHeight="false" outlineLevel="0" collapsed="false">
      <c r="C805" s="45" t="str">
        <f aca="false">IF(B805="","",IFERROR(VLOOKUP(B805,Features!$A$2:$C$200,3,FALSE()),""))</f>
        <v/>
      </c>
    </row>
    <row r="806" customFormat="false" ht="15" hidden="false" customHeight="false" outlineLevel="0" collapsed="false">
      <c r="C806" s="45" t="str">
        <f aca="false">IF(B806="","",IFERROR(VLOOKUP(B806,Features!$A$2:$C$200,3,FALSE()),""))</f>
        <v/>
      </c>
    </row>
    <row r="807" customFormat="false" ht="15" hidden="false" customHeight="false" outlineLevel="0" collapsed="false">
      <c r="C807" s="45" t="str">
        <f aca="false">IF(B807="","",IFERROR(VLOOKUP(B807,Features!$A$2:$C$200,3,FALSE()),""))</f>
        <v/>
      </c>
    </row>
    <row r="808" customFormat="false" ht="15" hidden="false" customHeight="false" outlineLevel="0" collapsed="false">
      <c r="C808" s="45" t="str">
        <f aca="false">IF(B808="","",IFERROR(VLOOKUP(B808,Features!$A$2:$C$200,3,FALSE()),""))</f>
        <v/>
      </c>
    </row>
    <row r="809" customFormat="false" ht="15" hidden="false" customHeight="false" outlineLevel="0" collapsed="false">
      <c r="C809" s="45" t="str">
        <f aca="false">IF(B809="","",IFERROR(VLOOKUP(B809,Features!$A$2:$C$200,3,FALSE()),""))</f>
        <v/>
      </c>
    </row>
    <row r="810" customFormat="false" ht="15" hidden="false" customHeight="false" outlineLevel="0" collapsed="false">
      <c r="C810" s="45" t="str">
        <f aca="false">IF(B810="","",IFERROR(VLOOKUP(B810,Features!$A$2:$C$200,3,FALSE()),""))</f>
        <v/>
      </c>
    </row>
    <row r="811" customFormat="false" ht="15" hidden="false" customHeight="false" outlineLevel="0" collapsed="false">
      <c r="C811" s="45" t="str">
        <f aca="false">IF(B811="","",IFERROR(VLOOKUP(B811,Features!$A$2:$C$200,3,FALSE()),""))</f>
        <v/>
      </c>
    </row>
    <row r="812" customFormat="false" ht="15" hidden="false" customHeight="false" outlineLevel="0" collapsed="false">
      <c r="C812" s="45" t="str">
        <f aca="false">IF(B812="","",IFERROR(VLOOKUP(B812,Features!$A$2:$C$200,3,FALSE()),""))</f>
        <v/>
      </c>
    </row>
    <row r="813" customFormat="false" ht="15" hidden="false" customHeight="false" outlineLevel="0" collapsed="false">
      <c r="C813" s="45" t="str">
        <f aca="false">IF(B813="","",IFERROR(VLOOKUP(B813,Features!$A$2:$C$200,3,FALSE()),""))</f>
        <v/>
      </c>
    </row>
    <row r="814" customFormat="false" ht="15" hidden="false" customHeight="false" outlineLevel="0" collapsed="false">
      <c r="C814" s="45" t="str">
        <f aca="false">IF(B814="","",IFERROR(VLOOKUP(B814,Features!$A$2:$C$200,3,FALSE()),""))</f>
        <v/>
      </c>
    </row>
    <row r="815" customFormat="false" ht="15" hidden="false" customHeight="false" outlineLevel="0" collapsed="false">
      <c r="C815" s="45" t="str">
        <f aca="false">IF(B815="","",IFERROR(VLOOKUP(B815,Features!$A$2:$C$200,3,FALSE()),""))</f>
        <v/>
      </c>
    </row>
    <row r="816" customFormat="false" ht="15" hidden="false" customHeight="false" outlineLevel="0" collapsed="false">
      <c r="C816" s="45" t="str">
        <f aca="false">IF(B816="","",IFERROR(VLOOKUP(B816,Features!$A$2:$C$200,3,FALSE()),""))</f>
        <v/>
      </c>
    </row>
    <row r="817" customFormat="false" ht="15" hidden="false" customHeight="false" outlineLevel="0" collapsed="false">
      <c r="C817" s="45" t="str">
        <f aca="false">IF(B817="","",IFERROR(VLOOKUP(B817,Features!$A$2:$C$200,3,FALSE()),""))</f>
        <v/>
      </c>
    </row>
    <row r="818" customFormat="false" ht="15" hidden="false" customHeight="false" outlineLevel="0" collapsed="false">
      <c r="C818" s="45" t="str">
        <f aca="false">IF(B818="","",IFERROR(VLOOKUP(B818,Features!$A$2:$C$200,3,FALSE()),""))</f>
        <v/>
      </c>
    </row>
    <row r="819" customFormat="false" ht="15" hidden="false" customHeight="false" outlineLevel="0" collapsed="false">
      <c r="C819" s="45" t="str">
        <f aca="false">IF(B819="","",IFERROR(VLOOKUP(B819,Features!$A$2:$C$200,3,FALSE()),""))</f>
        <v/>
      </c>
    </row>
    <row r="820" customFormat="false" ht="15" hidden="false" customHeight="false" outlineLevel="0" collapsed="false">
      <c r="C820" s="45" t="str">
        <f aca="false">IF(B820="","",IFERROR(VLOOKUP(B820,Features!$A$2:$C$200,3,FALSE()),""))</f>
        <v/>
      </c>
    </row>
    <row r="821" customFormat="false" ht="15" hidden="false" customHeight="false" outlineLevel="0" collapsed="false">
      <c r="C821" s="45" t="str">
        <f aca="false">IF(B821="","",IFERROR(VLOOKUP(B821,Features!$A$2:$C$200,3,FALSE()),""))</f>
        <v/>
      </c>
    </row>
    <row r="822" customFormat="false" ht="15" hidden="false" customHeight="false" outlineLevel="0" collapsed="false">
      <c r="C822" s="45" t="str">
        <f aca="false">IF(B822="","",IFERROR(VLOOKUP(B822,Features!$A$2:$C$200,3,FALSE()),""))</f>
        <v/>
      </c>
    </row>
    <row r="823" customFormat="false" ht="15" hidden="false" customHeight="false" outlineLevel="0" collapsed="false">
      <c r="C823" s="45" t="str">
        <f aca="false">IF(B823="","",IFERROR(VLOOKUP(B823,Features!$A$2:$C$200,3,FALSE()),""))</f>
        <v/>
      </c>
    </row>
    <row r="824" customFormat="false" ht="15" hidden="false" customHeight="false" outlineLevel="0" collapsed="false">
      <c r="C824" s="45" t="str">
        <f aca="false">IF(B824="","",IFERROR(VLOOKUP(B824,Features!$A$2:$C$200,3,FALSE()),""))</f>
        <v/>
      </c>
    </row>
    <row r="825" customFormat="false" ht="15" hidden="false" customHeight="false" outlineLevel="0" collapsed="false">
      <c r="C825" s="45" t="str">
        <f aca="false">IF(B825="","",IFERROR(VLOOKUP(B825,Features!$A$2:$C$200,3,FALSE()),""))</f>
        <v/>
      </c>
    </row>
    <row r="826" customFormat="false" ht="15" hidden="false" customHeight="false" outlineLevel="0" collapsed="false">
      <c r="C826" s="45" t="str">
        <f aca="false">IF(B826="","",IFERROR(VLOOKUP(B826,Features!$A$2:$C$200,3,FALSE()),""))</f>
        <v/>
      </c>
    </row>
    <row r="827" customFormat="false" ht="15" hidden="false" customHeight="false" outlineLevel="0" collapsed="false">
      <c r="C827" s="45" t="str">
        <f aca="false">IF(B827="","",IFERROR(VLOOKUP(B827,Features!$A$2:$C$200,3,FALSE()),""))</f>
        <v/>
      </c>
    </row>
    <row r="828" customFormat="false" ht="15" hidden="false" customHeight="false" outlineLevel="0" collapsed="false">
      <c r="C828" s="45" t="str">
        <f aca="false">IF(B828="","",IFERROR(VLOOKUP(B828,Features!$A$2:$C$200,3,FALSE()),""))</f>
        <v/>
      </c>
    </row>
    <row r="829" customFormat="false" ht="15" hidden="false" customHeight="false" outlineLevel="0" collapsed="false">
      <c r="C829" s="45" t="str">
        <f aca="false">IF(B829="","",IFERROR(VLOOKUP(B829,Features!$A$2:$C$200,3,FALSE()),""))</f>
        <v/>
      </c>
    </row>
    <row r="830" customFormat="false" ht="15" hidden="false" customHeight="false" outlineLevel="0" collapsed="false">
      <c r="C830" s="45" t="str">
        <f aca="false">IF(B830="","",IFERROR(VLOOKUP(B830,Features!$A$2:$C$200,3,FALSE()),""))</f>
        <v/>
      </c>
    </row>
    <row r="831" customFormat="false" ht="15" hidden="false" customHeight="false" outlineLevel="0" collapsed="false">
      <c r="C831" s="45" t="str">
        <f aca="false">IF(B831="","",IFERROR(VLOOKUP(B831,Features!$A$2:$C$200,3,FALSE()),""))</f>
        <v/>
      </c>
    </row>
    <row r="832" customFormat="false" ht="15" hidden="false" customHeight="false" outlineLevel="0" collapsed="false">
      <c r="C832" s="45" t="str">
        <f aca="false">IF(B832="","",IFERROR(VLOOKUP(B832,Features!$A$2:$C$200,3,FALSE()),""))</f>
        <v/>
      </c>
    </row>
    <row r="833" customFormat="false" ht="15" hidden="false" customHeight="false" outlineLevel="0" collapsed="false">
      <c r="C833" s="45" t="str">
        <f aca="false">IF(B833="","",IFERROR(VLOOKUP(B833,Features!$A$2:$C$200,3,FALSE()),""))</f>
        <v/>
      </c>
    </row>
    <row r="834" customFormat="false" ht="15" hidden="false" customHeight="false" outlineLevel="0" collapsed="false">
      <c r="C834" s="45" t="str">
        <f aca="false">IF(B834="","",IFERROR(VLOOKUP(B834,Features!$A$2:$C$200,3,FALSE()),""))</f>
        <v/>
      </c>
    </row>
    <row r="835" customFormat="false" ht="15" hidden="false" customHeight="false" outlineLevel="0" collapsed="false">
      <c r="C835" s="45" t="str">
        <f aca="false">IF(B835="","",IFERROR(VLOOKUP(B835,Features!$A$2:$C$200,3,FALSE()),""))</f>
        <v/>
      </c>
    </row>
    <row r="836" customFormat="false" ht="15" hidden="false" customHeight="false" outlineLevel="0" collapsed="false">
      <c r="C836" s="45" t="str">
        <f aca="false">IF(B836="","",IFERROR(VLOOKUP(B836,Features!$A$2:$C$200,3,FALSE()),""))</f>
        <v/>
      </c>
    </row>
    <row r="837" customFormat="false" ht="15" hidden="false" customHeight="false" outlineLevel="0" collapsed="false">
      <c r="C837" s="45" t="str">
        <f aca="false">IF(B837="","",IFERROR(VLOOKUP(B837,Features!$A$2:$C$200,3,FALSE()),""))</f>
        <v/>
      </c>
    </row>
    <row r="838" customFormat="false" ht="15" hidden="false" customHeight="false" outlineLevel="0" collapsed="false">
      <c r="C838" s="45" t="str">
        <f aca="false">IF(B838="","",IFERROR(VLOOKUP(B838,Features!$A$2:$C$200,3,FALSE()),""))</f>
        <v/>
      </c>
    </row>
    <row r="839" customFormat="false" ht="15" hidden="false" customHeight="false" outlineLevel="0" collapsed="false">
      <c r="C839" s="45" t="str">
        <f aca="false">IF(B839="","",IFERROR(VLOOKUP(B839,Features!$A$2:$C$200,3,FALSE()),""))</f>
        <v/>
      </c>
    </row>
    <row r="840" customFormat="false" ht="15" hidden="false" customHeight="false" outlineLevel="0" collapsed="false">
      <c r="C840" s="45" t="str">
        <f aca="false">IF(B840="","",IFERROR(VLOOKUP(B840,Features!$A$2:$C$200,3,FALSE()),""))</f>
        <v/>
      </c>
    </row>
    <row r="841" customFormat="false" ht="15" hidden="false" customHeight="false" outlineLevel="0" collapsed="false">
      <c r="C841" s="45" t="str">
        <f aca="false">IF(B841="","",IFERROR(VLOOKUP(B841,Features!$A$2:$C$200,3,FALSE()),""))</f>
        <v/>
      </c>
    </row>
    <row r="842" customFormat="false" ht="15" hidden="false" customHeight="false" outlineLevel="0" collapsed="false">
      <c r="C842" s="45" t="str">
        <f aca="false">IF(B842="","",IFERROR(VLOOKUP(B842,Features!$A$2:$C$200,3,FALSE()),""))</f>
        <v/>
      </c>
    </row>
    <row r="843" customFormat="false" ht="15" hidden="false" customHeight="false" outlineLevel="0" collapsed="false">
      <c r="C843" s="45" t="str">
        <f aca="false">IF(B843="","",IFERROR(VLOOKUP(B843,Features!$A$2:$C$200,3,FALSE()),""))</f>
        <v/>
      </c>
    </row>
    <row r="844" customFormat="false" ht="15" hidden="false" customHeight="false" outlineLevel="0" collapsed="false">
      <c r="C844" s="45" t="str">
        <f aca="false">IF(B844="","",IFERROR(VLOOKUP(B844,Features!$A$2:$C$200,3,FALSE()),""))</f>
        <v/>
      </c>
    </row>
    <row r="845" customFormat="false" ht="15" hidden="false" customHeight="false" outlineLevel="0" collapsed="false">
      <c r="C845" s="45" t="str">
        <f aca="false">IF(B845="","",IFERROR(VLOOKUP(B845,Features!$A$2:$C$200,3,FALSE()),""))</f>
        <v/>
      </c>
    </row>
    <row r="846" customFormat="false" ht="15" hidden="false" customHeight="false" outlineLevel="0" collapsed="false">
      <c r="C846" s="45" t="str">
        <f aca="false">IF(B846="","",IFERROR(VLOOKUP(B846,Features!$A$2:$C$200,3,FALSE()),""))</f>
        <v/>
      </c>
    </row>
    <row r="847" customFormat="false" ht="15" hidden="false" customHeight="false" outlineLevel="0" collapsed="false">
      <c r="C847" s="45" t="str">
        <f aca="false">IF(B847="","",IFERROR(VLOOKUP(B847,Features!$A$2:$C$200,3,FALSE()),""))</f>
        <v/>
      </c>
    </row>
    <row r="848" customFormat="false" ht="15" hidden="false" customHeight="false" outlineLevel="0" collapsed="false">
      <c r="C848" s="45" t="str">
        <f aca="false">IF(B848="","",IFERROR(VLOOKUP(B848,Features!$A$2:$C$200,3,FALSE()),""))</f>
        <v/>
      </c>
    </row>
    <row r="849" customFormat="false" ht="15" hidden="false" customHeight="false" outlineLevel="0" collapsed="false">
      <c r="C849" s="45" t="str">
        <f aca="false">IF(B849="","",IFERROR(VLOOKUP(B849,Features!$A$2:$C$200,3,FALSE()),""))</f>
        <v/>
      </c>
    </row>
    <row r="850" customFormat="false" ht="15" hidden="false" customHeight="false" outlineLevel="0" collapsed="false">
      <c r="C850" s="45" t="str">
        <f aca="false">IF(B850="","",IFERROR(VLOOKUP(B850,Features!$A$2:$C$200,3,FALSE()),""))</f>
        <v/>
      </c>
    </row>
    <row r="851" customFormat="false" ht="15" hidden="false" customHeight="false" outlineLevel="0" collapsed="false">
      <c r="C851" s="45" t="str">
        <f aca="false">IF(B851="","",IFERROR(VLOOKUP(B851,Features!$A$2:$C$200,3,FALSE()),""))</f>
        <v/>
      </c>
    </row>
    <row r="852" customFormat="false" ht="15" hidden="false" customHeight="false" outlineLevel="0" collapsed="false">
      <c r="C852" s="45" t="str">
        <f aca="false">IF(B852="","",IFERROR(VLOOKUP(B852,Features!$A$2:$C$200,3,FALSE()),""))</f>
        <v/>
      </c>
    </row>
    <row r="853" customFormat="false" ht="15" hidden="false" customHeight="false" outlineLevel="0" collapsed="false">
      <c r="C853" s="45" t="str">
        <f aca="false">IF(B853="","",IFERROR(VLOOKUP(B853,Features!$A$2:$C$200,3,FALSE()),""))</f>
        <v/>
      </c>
    </row>
    <row r="854" customFormat="false" ht="15" hidden="false" customHeight="false" outlineLevel="0" collapsed="false">
      <c r="C854" s="45" t="str">
        <f aca="false">IF(B854="","",IFERROR(VLOOKUP(B854,Features!$A$2:$C$200,3,FALSE()),""))</f>
        <v/>
      </c>
    </row>
    <row r="855" customFormat="false" ht="15" hidden="false" customHeight="false" outlineLevel="0" collapsed="false">
      <c r="C855" s="45" t="str">
        <f aca="false">IF(B855="","",IFERROR(VLOOKUP(B855,Features!$A$2:$C$200,3,FALSE()),""))</f>
        <v/>
      </c>
    </row>
    <row r="856" customFormat="false" ht="15" hidden="false" customHeight="false" outlineLevel="0" collapsed="false">
      <c r="C856" s="45" t="str">
        <f aca="false">IF(B856="","",IFERROR(VLOOKUP(B856,Features!$A$2:$C$200,3,FALSE()),""))</f>
        <v/>
      </c>
    </row>
    <row r="857" customFormat="false" ht="15" hidden="false" customHeight="false" outlineLevel="0" collapsed="false">
      <c r="C857" s="45" t="str">
        <f aca="false">IF(B857="","",IFERROR(VLOOKUP(B857,Features!$A$2:$C$200,3,FALSE()),""))</f>
        <v/>
      </c>
    </row>
    <row r="858" customFormat="false" ht="15" hidden="false" customHeight="false" outlineLevel="0" collapsed="false">
      <c r="C858" s="45" t="str">
        <f aca="false">IF(B858="","",IFERROR(VLOOKUP(B858,Features!$A$2:$C$200,3,FALSE()),""))</f>
        <v/>
      </c>
    </row>
    <row r="859" customFormat="false" ht="15" hidden="false" customHeight="false" outlineLevel="0" collapsed="false">
      <c r="C859" s="45" t="str">
        <f aca="false">IF(B859="","",IFERROR(VLOOKUP(B859,Features!$A$2:$C$200,3,FALSE()),""))</f>
        <v/>
      </c>
    </row>
    <row r="860" customFormat="false" ht="15" hidden="false" customHeight="false" outlineLevel="0" collapsed="false">
      <c r="C860" s="45" t="str">
        <f aca="false">IF(B860="","",IFERROR(VLOOKUP(B860,Features!$A$2:$C$200,3,FALSE()),""))</f>
        <v/>
      </c>
    </row>
    <row r="861" customFormat="false" ht="15" hidden="false" customHeight="false" outlineLevel="0" collapsed="false">
      <c r="C861" s="45" t="str">
        <f aca="false">IF(B861="","",IFERROR(VLOOKUP(B861,Features!$A$2:$C$200,3,FALSE()),""))</f>
        <v/>
      </c>
    </row>
    <row r="862" customFormat="false" ht="15" hidden="false" customHeight="false" outlineLevel="0" collapsed="false">
      <c r="C862" s="45" t="str">
        <f aca="false">IF(B862="","",IFERROR(VLOOKUP(B862,Features!$A$2:$C$200,3,FALSE()),""))</f>
        <v/>
      </c>
    </row>
    <row r="863" customFormat="false" ht="15" hidden="false" customHeight="false" outlineLevel="0" collapsed="false">
      <c r="C863" s="45" t="str">
        <f aca="false">IF(B863="","",IFERROR(VLOOKUP(B863,Features!$A$2:$C$200,3,FALSE()),""))</f>
        <v/>
      </c>
    </row>
    <row r="864" customFormat="false" ht="15" hidden="false" customHeight="false" outlineLevel="0" collapsed="false">
      <c r="C864" s="45" t="str">
        <f aca="false">IF(B864="","",IFERROR(VLOOKUP(B864,Features!$A$2:$C$200,3,FALSE()),""))</f>
        <v/>
      </c>
    </row>
    <row r="865" customFormat="false" ht="15" hidden="false" customHeight="false" outlineLevel="0" collapsed="false">
      <c r="C865" s="45" t="str">
        <f aca="false">IF(B865="","",IFERROR(VLOOKUP(B865,Features!$A$2:$C$200,3,FALSE()),""))</f>
        <v/>
      </c>
    </row>
    <row r="866" customFormat="false" ht="15" hidden="false" customHeight="false" outlineLevel="0" collapsed="false">
      <c r="C866" s="45" t="str">
        <f aca="false">IF(B866="","",IFERROR(VLOOKUP(B866,Features!$A$2:$C$200,3,FALSE()),""))</f>
        <v/>
      </c>
    </row>
    <row r="867" customFormat="false" ht="15" hidden="false" customHeight="false" outlineLevel="0" collapsed="false">
      <c r="C867" s="45" t="str">
        <f aca="false">IF(B867="","",IFERROR(VLOOKUP(B867,Features!$A$2:$C$200,3,FALSE()),""))</f>
        <v/>
      </c>
    </row>
    <row r="868" customFormat="false" ht="15" hidden="false" customHeight="false" outlineLevel="0" collapsed="false">
      <c r="C868" s="45" t="str">
        <f aca="false">IF(B868="","",IFERROR(VLOOKUP(B868,Features!$A$2:$C$200,3,FALSE()),""))</f>
        <v/>
      </c>
    </row>
    <row r="869" customFormat="false" ht="15" hidden="false" customHeight="false" outlineLevel="0" collapsed="false">
      <c r="C869" s="45" t="str">
        <f aca="false">IF(B869="","",IFERROR(VLOOKUP(B869,Features!$A$2:$C$200,3,FALSE()),""))</f>
        <v/>
      </c>
    </row>
    <row r="870" customFormat="false" ht="15" hidden="false" customHeight="false" outlineLevel="0" collapsed="false">
      <c r="C870" s="45" t="str">
        <f aca="false">IF(B870="","",IFERROR(VLOOKUP(B870,Features!$A$2:$C$200,3,FALSE()),""))</f>
        <v/>
      </c>
    </row>
    <row r="871" customFormat="false" ht="15" hidden="false" customHeight="false" outlineLevel="0" collapsed="false">
      <c r="C871" s="45" t="str">
        <f aca="false">IF(B871="","",IFERROR(VLOOKUP(B871,Features!$A$2:$C$200,3,FALSE()),""))</f>
        <v/>
      </c>
    </row>
    <row r="872" customFormat="false" ht="15" hidden="false" customHeight="false" outlineLevel="0" collapsed="false">
      <c r="C872" s="45" t="str">
        <f aca="false">IF(B872="","",IFERROR(VLOOKUP(B872,Features!$A$2:$C$200,3,FALSE()),""))</f>
        <v/>
      </c>
    </row>
    <row r="873" customFormat="false" ht="15" hidden="false" customHeight="false" outlineLevel="0" collapsed="false">
      <c r="C873" s="45" t="str">
        <f aca="false">IF(B873="","",IFERROR(VLOOKUP(B873,Features!$A$2:$C$200,3,FALSE()),""))</f>
        <v/>
      </c>
    </row>
    <row r="874" customFormat="false" ht="15" hidden="false" customHeight="false" outlineLevel="0" collapsed="false">
      <c r="C874" s="45" t="str">
        <f aca="false">IF(B874="","",IFERROR(VLOOKUP(B874,Features!$A$2:$C$200,3,FALSE()),""))</f>
        <v/>
      </c>
    </row>
    <row r="875" customFormat="false" ht="15" hidden="false" customHeight="false" outlineLevel="0" collapsed="false">
      <c r="C875" s="45" t="str">
        <f aca="false">IF(B875="","",IFERROR(VLOOKUP(B875,Features!$A$2:$C$200,3,FALSE()),""))</f>
        <v/>
      </c>
    </row>
    <row r="876" customFormat="false" ht="15" hidden="false" customHeight="false" outlineLevel="0" collapsed="false">
      <c r="C876" s="45" t="str">
        <f aca="false">IF(B876="","",IFERROR(VLOOKUP(B876,Features!$A$2:$C$200,3,FALSE()),""))</f>
        <v/>
      </c>
    </row>
    <row r="877" customFormat="false" ht="15" hidden="false" customHeight="false" outlineLevel="0" collapsed="false">
      <c r="C877" s="45" t="str">
        <f aca="false">IF(B877="","",IFERROR(VLOOKUP(B877,Features!$A$2:$C$200,3,FALSE()),""))</f>
        <v/>
      </c>
    </row>
    <row r="878" customFormat="false" ht="15" hidden="false" customHeight="false" outlineLevel="0" collapsed="false">
      <c r="C878" s="45" t="str">
        <f aca="false">IF(B878="","",IFERROR(VLOOKUP(B878,Features!$A$2:$C$200,3,FALSE()),""))</f>
        <v/>
      </c>
    </row>
    <row r="879" customFormat="false" ht="15" hidden="false" customHeight="false" outlineLevel="0" collapsed="false">
      <c r="C879" s="45" t="str">
        <f aca="false">IF(B879="","",IFERROR(VLOOKUP(B879,Features!$A$2:$C$200,3,FALSE()),""))</f>
        <v/>
      </c>
    </row>
    <row r="880" customFormat="false" ht="15" hidden="false" customHeight="false" outlineLevel="0" collapsed="false">
      <c r="C880" s="45" t="str">
        <f aca="false">IF(B880="","",IFERROR(VLOOKUP(B880,Features!$A$2:$C$200,3,FALSE()),""))</f>
        <v/>
      </c>
    </row>
    <row r="881" customFormat="false" ht="15" hidden="false" customHeight="false" outlineLevel="0" collapsed="false">
      <c r="C881" s="45" t="str">
        <f aca="false">IF(B881="","",IFERROR(VLOOKUP(B881,Features!$A$2:$C$200,3,FALSE()),""))</f>
        <v/>
      </c>
    </row>
    <row r="882" customFormat="false" ht="15" hidden="false" customHeight="false" outlineLevel="0" collapsed="false">
      <c r="C882" s="45" t="str">
        <f aca="false">IF(B882="","",IFERROR(VLOOKUP(B882,Features!$A$2:$C$200,3,FALSE()),""))</f>
        <v/>
      </c>
    </row>
    <row r="883" customFormat="false" ht="15" hidden="false" customHeight="false" outlineLevel="0" collapsed="false">
      <c r="C883" s="45" t="str">
        <f aca="false">IF(B883="","",IFERROR(VLOOKUP(B883,Features!$A$2:$C$200,3,FALSE()),""))</f>
        <v/>
      </c>
    </row>
    <row r="884" customFormat="false" ht="15" hidden="false" customHeight="false" outlineLevel="0" collapsed="false">
      <c r="C884" s="45" t="str">
        <f aca="false">IF(B884="","",IFERROR(VLOOKUP(B884,Features!$A$2:$C$200,3,FALSE()),""))</f>
        <v/>
      </c>
    </row>
    <row r="885" customFormat="false" ht="15" hidden="false" customHeight="false" outlineLevel="0" collapsed="false">
      <c r="C885" s="45" t="str">
        <f aca="false">IF(B885="","",IFERROR(VLOOKUP(B885,Features!$A$2:$C$200,3,FALSE()),""))</f>
        <v/>
      </c>
    </row>
    <row r="886" customFormat="false" ht="15" hidden="false" customHeight="false" outlineLevel="0" collapsed="false">
      <c r="C886" s="45" t="str">
        <f aca="false">IF(B886="","",IFERROR(VLOOKUP(B886,Features!$A$2:$C$200,3,FALSE()),""))</f>
        <v/>
      </c>
    </row>
    <row r="887" customFormat="false" ht="15" hidden="false" customHeight="false" outlineLevel="0" collapsed="false">
      <c r="C887" s="45" t="str">
        <f aca="false">IF(B887="","",IFERROR(VLOOKUP(B887,Features!$A$2:$C$200,3,FALSE()),""))</f>
        <v/>
      </c>
    </row>
    <row r="888" customFormat="false" ht="15" hidden="false" customHeight="false" outlineLevel="0" collapsed="false">
      <c r="C888" s="45" t="str">
        <f aca="false">IF(B888="","",IFERROR(VLOOKUP(B888,Features!$A$2:$C$200,3,FALSE()),""))</f>
        <v/>
      </c>
    </row>
    <row r="889" customFormat="false" ht="15" hidden="false" customHeight="false" outlineLevel="0" collapsed="false">
      <c r="C889" s="45" t="str">
        <f aca="false">IF(B889="","",IFERROR(VLOOKUP(B889,Features!$A$2:$C$200,3,FALSE()),""))</f>
        <v/>
      </c>
    </row>
    <row r="890" customFormat="false" ht="15" hidden="false" customHeight="false" outlineLevel="0" collapsed="false">
      <c r="C890" s="45" t="str">
        <f aca="false">IF(B890="","",IFERROR(VLOOKUP(B890,Features!$A$2:$C$200,3,FALSE()),""))</f>
        <v/>
      </c>
    </row>
    <row r="891" customFormat="false" ht="15" hidden="false" customHeight="false" outlineLevel="0" collapsed="false">
      <c r="C891" s="45" t="str">
        <f aca="false">IF(B891="","",IFERROR(VLOOKUP(B891,Features!$A$2:$C$200,3,FALSE()),""))</f>
        <v/>
      </c>
    </row>
    <row r="892" customFormat="false" ht="15" hidden="false" customHeight="false" outlineLevel="0" collapsed="false">
      <c r="C892" s="45" t="str">
        <f aca="false">IF(B892="","",IFERROR(VLOOKUP(B892,Features!$A$2:$C$200,3,FALSE()),""))</f>
        <v/>
      </c>
    </row>
    <row r="893" customFormat="false" ht="15" hidden="false" customHeight="false" outlineLevel="0" collapsed="false">
      <c r="C893" s="45" t="str">
        <f aca="false">IF(B893="","",IFERROR(VLOOKUP(B893,Features!$A$2:$C$200,3,FALSE()),""))</f>
        <v/>
      </c>
    </row>
    <row r="894" customFormat="false" ht="15" hidden="false" customHeight="false" outlineLevel="0" collapsed="false">
      <c r="C894" s="45" t="str">
        <f aca="false">IF(B894="","",IFERROR(VLOOKUP(B894,Features!$A$2:$C$200,3,FALSE()),""))</f>
        <v/>
      </c>
    </row>
    <row r="895" customFormat="false" ht="15" hidden="false" customHeight="false" outlineLevel="0" collapsed="false">
      <c r="C895" s="45" t="str">
        <f aca="false">IF(B895="","",IFERROR(VLOOKUP(B895,Features!$A$2:$C$200,3,FALSE()),""))</f>
        <v/>
      </c>
    </row>
    <row r="896" customFormat="false" ht="15" hidden="false" customHeight="false" outlineLevel="0" collapsed="false">
      <c r="C896" s="45" t="str">
        <f aca="false">IF(B896="","",IFERROR(VLOOKUP(B896,Features!$A$2:$C$200,3,FALSE()),""))</f>
        <v/>
      </c>
    </row>
    <row r="897" customFormat="false" ht="15" hidden="false" customHeight="false" outlineLevel="0" collapsed="false">
      <c r="C897" s="45" t="str">
        <f aca="false">IF(B897="","",IFERROR(VLOOKUP(B897,Features!$A$2:$C$200,3,FALSE()),""))</f>
        <v/>
      </c>
    </row>
    <row r="898" customFormat="false" ht="15" hidden="false" customHeight="false" outlineLevel="0" collapsed="false">
      <c r="C898" s="45" t="str">
        <f aca="false">IF(B898="","",IFERROR(VLOOKUP(B898,Features!$A$2:$C$200,3,FALSE()),""))</f>
        <v/>
      </c>
    </row>
    <row r="899" customFormat="false" ht="15" hidden="false" customHeight="false" outlineLevel="0" collapsed="false">
      <c r="C899" s="45" t="str">
        <f aca="false">IF(B899="","",IFERROR(VLOOKUP(B899,Features!$A$2:$C$200,3,FALSE()),""))</f>
        <v/>
      </c>
    </row>
    <row r="900" customFormat="false" ht="15" hidden="false" customHeight="false" outlineLevel="0" collapsed="false">
      <c r="C900" s="45" t="str">
        <f aca="false">IF(B900="","",IFERROR(VLOOKUP(B900,Features!$A$2:$C$200,3,FALSE()),""))</f>
        <v/>
      </c>
    </row>
    <row r="901" customFormat="false" ht="15" hidden="false" customHeight="false" outlineLevel="0" collapsed="false">
      <c r="C901" s="45" t="str">
        <f aca="false">IF(B901="","",IFERROR(VLOOKUP(B901,Features!$A$2:$C$200,3,FALSE()),""))</f>
        <v/>
      </c>
    </row>
    <row r="902" customFormat="false" ht="15" hidden="false" customHeight="false" outlineLevel="0" collapsed="false">
      <c r="C902" s="45" t="str">
        <f aca="false">IF(B902="","",IFERROR(VLOOKUP(B902,Features!$A$2:$C$200,3,FALSE()),""))</f>
        <v/>
      </c>
    </row>
    <row r="903" customFormat="false" ht="15" hidden="false" customHeight="false" outlineLevel="0" collapsed="false">
      <c r="C903" s="45" t="str">
        <f aca="false">IF(B903="","",IFERROR(VLOOKUP(B903,Features!$A$2:$C$200,3,FALSE()),""))</f>
        <v/>
      </c>
    </row>
    <row r="904" customFormat="false" ht="15" hidden="false" customHeight="false" outlineLevel="0" collapsed="false">
      <c r="C904" s="45" t="str">
        <f aca="false">IF(B904="","",IFERROR(VLOOKUP(B904,Features!$A$2:$C$200,3,FALSE()),""))</f>
        <v/>
      </c>
    </row>
    <row r="905" customFormat="false" ht="15" hidden="false" customHeight="false" outlineLevel="0" collapsed="false">
      <c r="C905" s="45" t="str">
        <f aca="false">IF(B905="","",IFERROR(VLOOKUP(B905,Features!$A$2:$C$200,3,FALSE()),""))</f>
        <v/>
      </c>
    </row>
    <row r="906" customFormat="false" ht="15" hidden="false" customHeight="false" outlineLevel="0" collapsed="false">
      <c r="C906" s="45" t="str">
        <f aca="false">IF(B906="","",IFERROR(VLOOKUP(B906,Features!$A$2:$C$200,3,FALSE()),""))</f>
        <v/>
      </c>
    </row>
    <row r="907" customFormat="false" ht="15" hidden="false" customHeight="false" outlineLevel="0" collapsed="false">
      <c r="C907" s="45" t="str">
        <f aca="false">IF(B907="","",IFERROR(VLOOKUP(B907,Features!$A$2:$C$200,3,FALSE()),""))</f>
        <v/>
      </c>
    </row>
    <row r="908" customFormat="false" ht="15" hidden="false" customHeight="false" outlineLevel="0" collapsed="false">
      <c r="C908" s="45" t="str">
        <f aca="false">IF(B908="","",IFERROR(VLOOKUP(B908,Features!$A$2:$C$200,3,FALSE()),""))</f>
        <v/>
      </c>
    </row>
    <row r="909" customFormat="false" ht="15" hidden="false" customHeight="false" outlineLevel="0" collapsed="false">
      <c r="C909" s="45" t="str">
        <f aca="false">IF(B909="","",IFERROR(VLOOKUP(B909,Features!$A$2:$C$200,3,FALSE()),""))</f>
        <v/>
      </c>
    </row>
    <row r="910" customFormat="false" ht="15" hidden="false" customHeight="false" outlineLevel="0" collapsed="false">
      <c r="C910" s="45" t="str">
        <f aca="false">IF(B910="","",IFERROR(VLOOKUP(B910,Features!$A$2:$C$200,3,FALSE()),""))</f>
        <v/>
      </c>
    </row>
    <row r="911" customFormat="false" ht="15" hidden="false" customHeight="false" outlineLevel="0" collapsed="false">
      <c r="C911" s="45" t="str">
        <f aca="false">IF(B911="","",IFERROR(VLOOKUP(B911,Features!$A$2:$C$200,3,FALSE()),""))</f>
        <v/>
      </c>
    </row>
    <row r="912" customFormat="false" ht="15" hidden="false" customHeight="false" outlineLevel="0" collapsed="false">
      <c r="C912" s="45" t="str">
        <f aca="false">IF(B912="","",IFERROR(VLOOKUP(B912,Features!$A$2:$C$200,3,FALSE()),""))</f>
        <v/>
      </c>
    </row>
    <row r="913" customFormat="false" ht="15" hidden="false" customHeight="false" outlineLevel="0" collapsed="false">
      <c r="C913" s="45" t="str">
        <f aca="false">IF(B913="","",IFERROR(VLOOKUP(B913,Features!$A$2:$C$200,3,FALSE()),""))</f>
        <v/>
      </c>
    </row>
    <row r="914" customFormat="false" ht="15" hidden="false" customHeight="false" outlineLevel="0" collapsed="false">
      <c r="C914" s="45" t="str">
        <f aca="false">IF(B914="","",IFERROR(VLOOKUP(B914,Features!$A$2:$C$200,3,FALSE()),""))</f>
        <v/>
      </c>
    </row>
    <row r="915" customFormat="false" ht="15" hidden="false" customHeight="false" outlineLevel="0" collapsed="false">
      <c r="C915" s="45" t="str">
        <f aca="false">IF(B915="","",IFERROR(VLOOKUP(B915,Features!$A$2:$C$200,3,FALSE()),""))</f>
        <v/>
      </c>
    </row>
    <row r="916" customFormat="false" ht="15" hidden="false" customHeight="false" outlineLevel="0" collapsed="false">
      <c r="C916" s="45" t="str">
        <f aca="false">IF(B916="","",IFERROR(VLOOKUP(B916,Features!$A$2:$C$200,3,FALSE()),""))</f>
        <v/>
      </c>
    </row>
    <row r="917" customFormat="false" ht="15" hidden="false" customHeight="false" outlineLevel="0" collapsed="false">
      <c r="C917" s="45" t="str">
        <f aca="false">IF(B917="","",IFERROR(VLOOKUP(B917,Features!$A$2:$C$200,3,FALSE()),""))</f>
        <v/>
      </c>
    </row>
    <row r="918" customFormat="false" ht="15" hidden="false" customHeight="false" outlineLevel="0" collapsed="false">
      <c r="C918" s="45" t="str">
        <f aca="false">IF(B918="","",IFERROR(VLOOKUP(B918,Features!$A$2:$C$200,3,FALSE()),""))</f>
        <v/>
      </c>
    </row>
    <row r="919" customFormat="false" ht="15" hidden="false" customHeight="false" outlineLevel="0" collapsed="false">
      <c r="C919" s="45" t="str">
        <f aca="false">IF(B919="","",IFERROR(VLOOKUP(B919,Features!$A$2:$C$200,3,FALSE()),""))</f>
        <v/>
      </c>
    </row>
    <row r="920" customFormat="false" ht="15" hidden="false" customHeight="false" outlineLevel="0" collapsed="false">
      <c r="C920" s="45" t="str">
        <f aca="false">IF(B920="","",IFERROR(VLOOKUP(B920,Features!$A$2:$C$200,3,FALSE()),""))</f>
        <v/>
      </c>
    </row>
    <row r="921" customFormat="false" ht="15" hidden="false" customHeight="false" outlineLevel="0" collapsed="false">
      <c r="C921" s="45" t="str">
        <f aca="false">IF(B921="","",IFERROR(VLOOKUP(B921,Features!$A$2:$C$200,3,FALSE()),""))</f>
        <v/>
      </c>
    </row>
    <row r="922" customFormat="false" ht="15" hidden="false" customHeight="false" outlineLevel="0" collapsed="false">
      <c r="C922" s="45" t="str">
        <f aca="false">IF(B922="","",IFERROR(VLOOKUP(B922,Features!$A$2:$C$200,3,FALSE()),""))</f>
        <v/>
      </c>
    </row>
    <row r="923" customFormat="false" ht="15" hidden="false" customHeight="false" outlineLevel="0" collapsed="false">
      <c r="C923" s="45" t="str">
        <f aca="false">IF(B923="","",IFERROR(VLOOKUP(B923,Features!$A$2:$C$200,3,FALSE()),""))</f>
        <v/>
      </c>
    </row>
    <row r="924" customFormat="false" ht="15" hidden="false" customHeight="false" outlineLevel="0" collapsed="false">
      <c r="C924" s="45" t="str">
        <f aca="false">IF(B924="","",IFERROR(VLOOKUP(B924,Features!$A$2:$C$200,3,FALSE()),""))</f>
        <v/>
      </c>
    </row>
    <row r="925" customFormat="false" ht="15" hidden="false" customHeight="false" outlineLevel="0" collapsed="false">
      <c r="C925" s="45" t="str">
        <f aca="false">IF(B925="","",IFERROR(VLOOKUP(B925,Features!$A$2:$C$200,3,FALSE()),""))</f>
        <v/>
      </c>
    </row>
    <row r="926" customFormat="false" ht="15" hidden="false" customHeight="false" outlineLevel="0" collapsed="false">
      <c r="C926" s="45" t="str">
        <f aca="false">IF(B926="","",IFERROR(VLOOKUP(B926,Features!$A$2:$C$200,3,FALSE()),""))</f>
        <v/>
      </c>
    </row>
    <row r="927" customFormat="false" ht="15" hidden="false" customHeight="false" outlineLevel="0" collapsed="false">
      <c r="C927" s="45" t="str">
        <f aca="false">IF(B927="","",IFERROR(VLOOKUP(B927,Features!$A$2:$C$200,3,FALSE()),""))</f>
        <v/>
      </c>
    </row>
    <row r="928" customFormat="false" ht="15" hidden="false" customHeight="false" outlineLevel="0" collapsed="false">
      <c r="C928" s="45" t="str">
        <f aca="false">IF(B928="","",IFERROR(VLOOKUP(B928,Features!$A$2:$C$200,3,FALSE()),""))</f>
        <v/>
      </c>
    </row>
    <row r="929" customFormat="false" ht="15" hidden="false" customHeight="false" outlineLevel="0" collapsed="false">
      <c r="C929" s="45" t="str">
        <f aca="false">IF(B929="","",IFERROR(VLOOKUP(B929,Features!$A$2:$C$200,3,FALSE()),""))</f>
        <v/>
      </c>
    </row>
    <row r="930" customFormat="false" ht="15" hidden="false" customHeight="false" outlineLevel="0" collapsed="false">
      <c r="C930" s="45" t="str">
        <f aca="false">IF(B930="","",IFERROR(VLOOKUP(B930,Features!$A$2:$C$200,3,FALSE()),""))</f>
        <v/>
      </c>
    </row>
    <row r="931" customFormat="false" ht="15" hidden="false" customHeight="false" outlineLevel="0" collapsed="false">
      <c r="C931" s="45" t="str">
        <f aca="false">IF(B931="","",IFERROR(VLOOKUP(B931,Features!$A$2:$C$200,3,FALSE()),""))</f>
        <v/>
      </c>
    </row>
    <row r="932" customFormat="false" ht="15" hidden="false" customHeight="false" outlineLevel="0" collapsed="false">
      <c r="C932" s="45" t="str">
        <f aca="false">IF(B932="","",IFERROR(VLOOKUP(B932,Features!$A$2:$C$200,3,FALSE()),""))</f>
        <v/>
      </c>
    </row>
    <row r="933" customFormat="false" ht="15" hidden="false" customHeight="false" outlineLevel="0" collapsed="false">
      <c r="C933" s="45" t="str">
        <f aca="false">IF(B933="","",IFERROR(VLOOKUP(B933,Features!$A$2:$C$200,3,FALSE()),""))</f>
        <v/>
      </c>
    </row>
    <row r="934" customFormat="false" ht="15" hidden="false" customHeight="false" outlineLevel="0" collapsed="false">
      <c r="C934" s="45" t="str">
        <f aca="false">IF(B934="","",IFERROR(VLOOKUP(B934,Features!$A$2:$C$200,3,FALSE()),""))</f>
        <v/>
      </c>
    </row>
    <row r="935" customFormat="false" ht="15" hidden="false" customHeight="false" outlineLevel="0" collapsed="false">
      <c r="C935" s="45" t="str">
        <f aca="false">IF(B935="","",IFERROR(VLOOKUP(B935,Features!$A$2:$C$200,3,FALSE()),""))</f>
        <v/>
      </c>
    </row>
    <row r="936" customFormat="false" ht="15" hidden="false" customHeight="false" outlineLevel="0" collapsed="false">
      <c r="C936" s="45" t="str">
        <f aca="false">IF(B936="","",IFERROR(VLOOKUP(B936,Features!$A$2:$C$200,3,FALSE()),""))</f>
        <v/>
      </c>
    </row>
    <row r="937" customFormat="false" ht="15" hidden="false" customHeight="false" outlineLevel="0" collapsed="false">
      <c r="C937" s="45" t="str">
        <f aca="false">IF(B937="","",IFERROR(VLOOKUP(B937,Features!$A$2:$C$200,3,FALSE()),""))</f>
        <v/>
      </c>
    </row>
    <row r="938" customFormat="false" ht="15" hidden="false" customHeight="false" outlineLevel="0" collapsed="false">
      <c r="C938" s="45" t="str">
        <f aca="false">IF(B938="","",IFERROR(VLOOKUP(B938,Features!$A$2:$C$200,3,FALSE()),""))</f>
        <v/>
      </c>
    </row>
    <row r="939" customFormat="false" ht="15" hidden="false" customHeight="false" outlineLevel="0" collapsed="false">
      <c r="C939" s="45" t="str">
        <f aca="false">IF(B939="","",IFERROR(VLOOKUP(B939,Features!$A$2:$C$200,3,FALSE()),""))</f>
        <v/>
      </c>
    </row>
    <row r="940" customFormat="false" ht="15" hidden="false" customHeight="false" outlineLevel="0" collapsed="false">
      <c r="C940" s="45" t="str">
        <f aca="false">IF(B940="","",IFERROR(VLOOKUP(B940,Features!$A$2:$C$200,3,FALSE()),""))</f>
        <v/>
      </c>
    </row>
    <row r="941" customFormat="false" ht="15" hidden="false" customHeight="false" outlineLevel="0" collapsed="false">
      <c r="C941" s="45" t="str">
        <f aca="false">IF(B941="","",IFERROR(VLOOKUP(B941,Features!$A$2:$C$200,3,FALSE()),""))</f>
        <v/>
      </c>
    </row>
    <row r="942" customFormat="false" ht="15" hidden="false" customHeight="false" outlineLevel="0" collapsed="false">
      <c r="C942" s="45" t="str">
        <f aca="false">IF(B942="","",IFERROR(VLOOKUP(B942,Features!$A$2:$C$200,3,FALSE()),""))</f>
        <v/>
      </c>
    </row>
    <row r="943" customFormat="false" ht="15" hidden="false" customHeight="false" outlineLevel="0" collapsed="false">
      <c r="C943" s="45" t="str">
        <f aca="false">IF(B943="","",IFERROR(VLOOKUP(B943,Features!$A$2:$C$200,3,FALSE()),""))</f>
        <v/>
      </c>
    </row>
    <row r="944" customFormat="false" ht="15" hidden="false" customHeight="false" outlineLevel="0" collapsed="false">
      <c r="C944" s="45" t="str">
        <f aca="false">IF(B944="","",IFERROR(VLOOKUP(B944,Features!$A$2:$C$200,3,FALSE()),""))</f>
        <v/>
      </c>
    </row>
    <row r="945" customFormat="false" ht="15" hidden="false" customHeight="false" outlineLevel="0" collapsed="false">
      <c r="C945" s="45" t="str">
        <f aca="false">IF(B945="","",IFERROR(VLOOKUP(B945,Features!$A$2:$C$200,3,FALSE()),""))</f>
        <v/>
      </c>
    </row>
    <row r="946" customFormat="false" ht="15" hidden="false" customHeight="false" outlineLevel="0" collapsed="false">
      <c r="C946" s="45" t="str">
        <f aca="false">IF(B946="","",IFERROR(VLOOKUP(B946,Features!$A$2:$C$200,3,FALSE()),""))</f>
        <v/>
      </c>
    </row>
    <row r="947" customFormat="false" ht="15" hidden="false" customHeight="false" outlineLevel="0" collapsed="false">
      <c r="C947" s="45" t="str">
        <f aca="false">IF(B947="","",IFERROR(VLOOKUP(B947,Features!$A$2:$C$200,3,FALSE()),""))</f>
        <v/>
      </c>
    </row>
    <row r="948" customFormat="false" ht="15" hidden="false" customHeight="false" outlineLevel="0" collapsed="false">
      <c r="C948" s="45" t="str">
        <f aca="false">IF(B948="","",IFERROR(VLOOKUP(B948,Features!$A$2:$C$200,3,FALSE()),""))</f>
        <v/>
      </c>
    </row>
    <row r="949" customFormat="false" ht="15" hidden="false" customHeight="false" outlineLevel="0" collapsed="false">
      <c r="C949" s="45" t="str">
        <f aca="false">IF(B949="","",IFERROR(VLOOKUP(B949,Features!$A$2:$C$200,3,FALSE()),""))</f>
        <v/>
      </c>
    </row>
    <row r="950" customFormat="false" ht="15" hidden="false" customHeight="false" outlineLevel="0" collapsed="false">
      <c r="C950" s="45" t="str">
        <f aca="false">IF(B950="","",IFERROR(VLOOKUP(B950,Features!$A$2:$C$200,3,FALSE()),""))</f>
        <v/>
      </c>
    </row>
    <row r="951" customFormat="false" ht="15" hidden="false" customHeight="false" outlineLevel="0" collapsed="false">
      <c r="C951" s="45" t="str">
        <f aca="false">IF(B951="","",IFERROR(VLOOKUP(B951,Features!$A$2:$C$200,3,FALSE()),""))</f>
        <v/>
      </c>
    </row>
    <row r="952" customFormat="false" ht="15" hidden="false" customHeight="false" outlineLevel="0" collapsed="false">
      <c r="C952" s="45" t="str">
        <f aca="false">IF(B952="","",IFERROR(VLOOKUP(B952,Features!$A$2:$C$200,3,FALSE()),""))</f>
        <v/>
      </c>
    </row>
    <row r="953" customFormat="false" ht="15" hidden="false" customHeight="false" outlineLevel="0" collapsed="false">
      <c r="C953" s="45" t="str">
        <f aca="false">IF(B953="","",IFERROR(VLOOKUP(B953,Features!$A$2:$C$200,3,FALSE()),""))</f>
        <v/>
      </c>
    </row>
    <row r="954" customFormat="false" ht="15" hidden="false" customHeight="false" outlineLevel="0" collapsed="false">
      <c r="C954" s="45" t="str">
        <f aca="false">IF(B954="","",IFERROR(VLOOKUP(B954,Features!$A$2:$C$200,3,FALSE()),""))</f>
        <v/>
      </c>
    </row>
    <row r="955" customFormat="false" ht="15" hidden="false" customHeight="false" outlineLevel="0" collapsed="false">
      <c r="C955" s="45" t="str">
        <f aca="false">IF(B955="","",IFERROR(VLOOKUP(B955,Features!$A$2:$C$200,3,FALSE()),""))</f>
        <v/>
      </c>
    </row>
    <row r="956" customFormat="false" ht="15" hidden="false" customHeight="false" outlineLevel="0" collapsed="false">
      <c r="C956" s="45" t="str">
        <f aca="false">IF(B956="","",IFERROR(VLOOKUP(B956,Features!$A$2:$C$200,3,FALSE()),""))</f>
        <v/>
      </c>
    </row>
    <row r="957" customFormat="false" ht="15" hidden="false" customHeight="false" outlineLevel="0" collapsed="false">
      <c r="C957" s="45" t="str">
        <f aca="false">IF(B957="","",IFERROR(VLOOKUP(B957,Features!$A$2:$C$200,3,FALSE()),""))</f>
        <v/>
      </c>
    </row>
    <row r="958" customFormat="false" ht="15" hidden="false" customHeight="false" outlineLevel="0" collapsed="false">
      <c r="C958" s="45" t="str">
        <f aca="false">IF(B958="","",IFERROR(VLOOKUP(B958,Features!$A$2:$C$200,3,FALSE()),""))</f>
        <v/>
      </c>
    </row>
    <row r="959" customFormat="false" ht="15" hidden="false" customHeight="false" outlineLevel="0" collapsed="false">
      <c r="C959" s="45" t="str">
        <f aca="false">IF(B959="","",IFERROR(VLOOKUP(B959,Features!$A$2:$C$200,3,FALSE()),""))</f>
        <v/>
      </c>
    </row>
    <row r="960" customFormat="false" ht="15" hidden="false" customHeight="false" outlineLevel="0" collapsed="false">
      <c r="C960" s="45" t="str">
        <f aca="false">IF(B960="","",IFERROR(VLOOKUP(B960,Features!$A$2:$C$200,3,FALSE()),""))</f>
        <v/>
      </c>
    </row>
    <row r="961" customFormat="false" ht="15" hidden="false" customHeight="false" outlineLevel="0" collapsed="false">
      <c r="C961" s="45" t="str">
        <f aca="false">IF(B961="","",IFERROR(VLOOKUP(B961,Features!$A$2:$C$200,3,FALSE()),""))</f>
        <v/>
      </c>
    </row>
    <row r="962" customFormat="false" ht="15" hidden="false" customHeight="false" outlineLevel="0" collapsed="false">
      <c r="C962" s="45" t="str">
        <f aca="false">IF(B962="","",IFERROR(VLOOKUP(B962,Features!$A$2:$C$200,3,FALSE()),""))</f>
        <v/>
      </c>
    </row>
    <row r="963" customFormat="false" ht="15" hidden="false" customHeight="false" outlineLevel="0" collapsed="false">
      <c r="C963" s="45" t="str">
        <f aca="false">IF(B963="","",IFERROR(VLOOKUP(B963,Features!$A$2:$C$200,3,FALSE()),""))</f>
        <v/>
      </c>
    </row>
    <row r="964" customFormat="false" ht="15" hidden="false" customHeight="false" outlineLevel="0" collapsed="false">
      <c r="C964" s="45" t="str">
        <f aca="false">IF(B964="","",IFERROR(VLOOKUP(B964,Features!$A$2:$C$200,3,FALSE()),""))</f>
        <v/>
      </c>
    </row>
    <row r="965" customFormat="false" ht="15" hidden="false" customHeight="false" outlineLevel="0" collapsed="false">
      <c r="C965" s="45" t="str">
        <f aca="false">IF(B965="","",IFERROR(VLOOKUP(B965,Features!$A$2:$C$200,3,FALSE()),""))</f>
        <v/>
      </c>
    </row>
    <row r="966" customFormat="false" ht="15" hidden="false" customHeight="false" outlineLevel="0" collapsed="false">
      <c r="C966" s="45" t="str">
        <f aca="false">IF(B966="","",IFERROR(VLOOKUP(B966,Features!$A$2:$C$200,3,FALSE()),""))</f>
        <v/>
      </c>
    </row>
    <row r="967" customFormat="false" ht="15" hidden="false" customHeight="false" outlineLevel="0" collapsed="false">
      <c r="C967" s="45" t="str">
        <f aca="false">IF(B967="","",IFERROR(VLOOKUP(B967,Features!$A$2:$C$200,3,FALSE()),""))</f>
        <v/>
      </c>
    </row>
    <row r="968" customFormat="false" ht="15" hidden="false" customHeight="false" outlineLevel="0" collapsed="false">
      <c r="C968" s="45" t="str">
        <f aca="false">IF(B968="","",IFERROR(VLOOKUP(B968,Features!$A$2:$C$200,3,FALSE()),""))</f>
        <v/>
      </c>
    </row>
    <row r="969" customFormat="false" ht="15" hidden="false" customHeight="false" outlineLevel="0" collapsed="false">
      <c r="C969" s="45" t="str">
        <f aca="false">IF(B969="","",IFERROR(VLOOKUP(B969,Features!$A$2:$C$200,3,FALSE()),""))</f>
        <v/>
      </c>
    </row>
    <row r="970" customFormat="false" ht="15" hidden="false" customHeight="false" outlineLevel="0" collapsed="false">
      <c r="C970" s="45" t="str">
        <f aca="false">IF(B970="","",IFERROR(VLOOKUP(B970,Features!$A$2:$C$200,3,FALSE()),""))</f>
        <v/>
      </c>
    </row>
    <row r="971" customFormat="false" ht="15" hidden="false" customHeight="false" outlineLevel="0" collapsed="false">
      <c r="C971" s="45" t="str">
        <f aca="false">IF(B971="","",IFERROR(VLOOKUP(B971,Features!$A$2:$C$200,3,FALSE()),""))</f>
        <v/>
      </c>
    </row>
    <row r="972" customFormat="false" ht="15" hidden="false" customHeight="false" outlineLevel="0" collapsed="false">
      <c r="C972" s="45" t="str">
        <f aca="false">IF(B972="","",IFERROR(VLOOKUP(B972,Features!$A$2:$C$200,3,FALSE()),""))</f>
        <v/>
      </c>
    </row>
    <row r="973" customFormat="false" ht="15" hidden="false" customHeight="false" outlineLevel="0" collapsed="false">
      <c r="C973" s="45" t="str">
        <f aca="false">IF(B973="","",IFERROR(VLOOKUP(B973,Features!$A$2:$C$200,3,FALSE()),""))</f>
        <v/>
      </c>
    </row>
    <row r="974" customFormat="false" ht="15" hidden="false" customHeight="false" outlineLevel="0" collapsed="false">
      <c r="C974" s="45" t="str">
        <f aca="false">IF(B974="","",IFERROR(VLOOKUP(B974,Features!$A$2:$C$200,3,FALSE()),""))</f>
        <v/>
      </c>
    </row>
    <row r="975" customFormat="false" ht="15" hidden="false" customHeight="false" outlineLevel="0" collapsed="false">
      <c r="C975" s="45" t="str">
        <f aca="false">IF(B975="","",IFERROR(VLOOKUP(B975,Features!$A$2:$C$200,3,FALSE()),""))</f>
        <v/>
      </c>
    </row>
    <row r="976" customFormat="false" ht="15" hidden="false" customHeight="false" outlineLevel="0" collapsed="false">
      <c r="C976" s="45" t="str">
        <f aca="false">IF(B976="","",IFERROR(VLOOKUP(B976,Features!$A$2:$C$200,3,FALSE()),""))</f>
        <v/>
      </c>
    </row>
    <row r="977" customFormat="false" ht="15" hidden="false" customHeight="false" outlineLevel="0" collapsed="false">
      <c r="C977" s="45" t="str">
        <f aca="false">IF(B977="","",IFERROR(VLOOKUP(B977,Features!$A$2:$C$200,3,FALSE()),""))</f>
        <v/>
      </c>
    </row>
    <row r="978" customFormat="false" ht="15" hidden="false" customHeight="false" outlineLevel="0" collapsed="false">
      <c r="C978" s="45" t="str">
        <f aca="false">IF(B978="","",IFERROR(VLOOKUP(B978,Features!$A$2:$C$200,3,FALSE()),""))</f>
        <v/>
      </c>
    </row>
    <row r="979" customFormat="false" ht="15" hidden="false" customHeight="false" outlineLevel="0" collapsed="false">
      <c r="C979" s="45" t="str">
        <f aca="false">IF(B979="","",IFERROR(VLOOKUP(B979,Features!$A$2:$C$200,3,FALSE()),""))</f>
        <v/>
      </c>
    </row>
    <row r="980" customFormat="false" ht="15" hidden="false" customHeight="false" outlineLevel="0" collapsed="false">
      <c r="C980" s="45" t="str">
        <f aca="false">IF(B980="","",IFERROR(VLOOKUP(B980,Features!$A$2:$C$200,3,FALSE()),""))</f>
        <v/>
      </c>
    </row>
    <row r="981" customFormat="false" ht="15" hidden="false" customHeight="false" outlineLevel="0" collapsed="false">
      <c r="C981" s="45" t="str">
        <f aca="false">IF(B981="","",IFERROR(VLOOKUP(B981,Features!$A$2:$C$200,3,FALSE()),""))</f>
        <v/>
      </c>
    </row>
    <row r="982" customFormat="false" ht="15" hidden="false" customHeight="false" outlineLevel="0" collapsed="false">
      <c r="C982" s="45" t="str">
        <f aca="false">IF(B982="","",IFERROR(VLOOKUP(B982,Features!$A$2:$C$200,3,FALSE()),""))</f>
        <v/>
      </c>
    </row>
    <row r="983" customFormat="false" ht="15" hidden="false" customHeight="false" outlineLevel="0" collapsed="false">
      <c r="C983" s="45" t="str">
        <f aca="false">IF(B983="","",IFERROR(VLOOKUP(B983,Features!$A$2:$C$200,3,FALSE()),""))</f>
        <v/>
      </c>
    </row>
    <row r="984" customFormat="false" ht="15" hidden="false" customHeight="false" outlineLevel="0" collapsed="false">
      <c r="C984" s="45" t="str">
        <f aca="false">IF(B984="","",IFERROR(VLOOKUP(B984,Features!$A$2:$C$200,3,FALSE()),""))</f>
        <v/>
      </c>
    </row>
    <row r="985" customFormat="false" ht="15" hidden="false" customHeight="false" outlineLevel="0" collapsed="false">
      <c r="C985" s="45" t="str">
        <f aca="false">IF(B985="","",IFERROR(VLOOKUP(B985,Features!$A$2:$C$200,3,FALSE()),""))</f>
        <v/>
      </c>
    </row>
    <row r="986" customFormat="false" ht="15" hidden="false" customHeight="false" outlineLevel="0" collapsed="false">
      <c r="C986" s="45" t="str">
        <f aca="false">IF(B986="","",IFERROR(VLOOKUP(B986,Features!$A$2:$C$200,3,FALSE()),""))</f>
        <v/>
      </c>
    </row>
    <row r="987" customFormat="false" ht="15" hidden="false" customHeight="false" outlineLevel="0" collapsed="false">
      <c r="C987" s="45" t="str">
        <f aca="false">IF(B987="","",IFERROR(VLOOKUP(B987,Features!$A$2:$C$200,3,FALSE()),""))</f>
        <v/>
      </c>
    </row>
    <row r="988" customFormat="false" ht="15" hidden="false" customHeight="false" outlineLevel="0" collapsed="false">
      <c r="C988" s="45" t="str">
        <f aca="false">IF(B988="","",IFERROR(VLOOKUP(B988,Features!$A$2:$C$200,3,FALSE()),""))</f>
        <v/>
      </c>
    </row>
    <row r="989" customFormat="false" ht="15" hidden="false" customHeight="false" outlineLevel="0" collapsed="false">
      <c r="C989" s="45" t="str">
        <f aca="false">IF(B989="","",IFERROR(VLOOKUP(B989,Features!$A$2:$C$200,3,FALSE()),""))</f>
        <v/>
      </c>
    </row>
    <row r="990" customFormat="false" ht="15" hidden="false" customHeight="false" outlineLevel="0" collapsed="false">
      <c r="C990" s="45" t="str">
        <f aca="false">IF(B990="","",IFERROR(VLOOKUP(B990,Features!$A$2:$C$200,3,FALSE()),""))</f>
        <v/>
      </c>
    </row>
    <row r="991" customFormat="false" ht="15" hidden="false" customHeight="false" outlineLevel="0" collapsed="false">
      <c r="C991" s="45" t="str">
        <f aca="false">IF(B991="","",IFERROR(VLOOKUP(B991,Features!$A$2:$C$200,3,FALSE()),""))</f>
        <v/>
      </c>
    </row>
    <row r="992" customFormat="false" ht="15" hidden="false" customHeight="false" outlineLevel="0" collapsed="false">
      <c r="C992" s="45" t="str">
        <f aca="false">IF(B992="","",IFERROR(VLOOKUP(B992,Features!$A$2:$C$200,3,FALSE()),""))</f>
        <v/>
      </c>
    </row>
    <row r="993" customFormat="false" ht="15" hidden="false" customHeight="false" outlineLevel="0" collapsed="false">
      <c r="C993" s="45" t="str">
        <f aca="false">IF(B993="","",IFERROR(VLOOKUP(B993,Features!$A$2:$C$200,3,FALSE()),""))</f>
        <v/>
      </c>
    </row>
    <row r="994" customFormat="false" ht="15" hidden="false" customHeight="false" outlineLevel="0" collapsed="false">
      <c r="C994" s="45" t="str">
        <f aca="false">IF(B994="","",IFERROR(VLOOKUP(B994,Features!$A$2:$C$200,3,FALSE()),""))</f>
        <v/>
      </c>
    </row>
    <row r="995" customFormat="false" ht="15" hidden="false" customHeight="false" outlineLevel="0" collapsed="false">
      <c r="C995" s="45" t="str">
        <f aca="false">IF(B995="","",IFERROR(VLOOKUP(B995,Features!$A$2:$C$200,3,FALSE()),""))</f>
        <v/>
      </c>
    </row>
    <row r="996" customFormat="false" ht="15" hidden="false" customHeight="false" outlineLevel="0" collapsed="false">
      <c r="C996" s="45" t="str">
        <f aca="false">IF(B996="","",IFERROR(VLOOKUP(B996,Features!$A$2:$C$200,3,FALSE()),""))</f>
        <v/>
      </c>
    </row>
    <row r="997" customFormat="false" ht="15" hidden="false" customHeight="false" outlineLevel="0" collapsed="false">
      <c r="C997" s="45" t="str">
        <f aca="false">IF(B997="","",IFERROR(VLOOKUP(B997,Features!$A$2:$C$200,3,FALSE()),""))</f>
        <v/>
      </c>
    </row>
    <row r="998" customFormat="false" ht="15" hidden="false" customHeight="false" outlineLevel="0" collapsed="false">
      <c r="C998" s="45" t="str">
        <f aca="false">IF(B998="","",IFERROR(VLOOKUP(B998,Features!$A$2:$C$200,3,FALSE()),""))</f>
        <v/>
      </c>
    </row>
    <row r="999" customFormat="false" ht="15" hidden="false" customHeight="false" outlineLevel="0" collapsed="false">
      <c r="C999" s="45" t="str">
        <f aca="false">IF(B999="","",IFERROR(VLOOKUP(B999,Features!$A$2:$C$200,3,FALSE()),""))</f>
        <v/>
      </c>
    </row>
    <row r="1000" customFormat="false" ht="15" hidden="false" customHeight="false" outlineLevel="0" collapsed="false">
      <c r="C1000" s="45" t="str">
        <f aca="false">IF(B1000="","",IFERROR(VLOOKUP(B1000,Features!$A$2:$C$200,3,FALSE()),""))</f>
        <v/>
      </c>
    </row>
  </sheetData>
  <autoFilter ref="A1:N1000"/>
  <conditionalFormatting sqref="L2:L1000">
    <cfRule type="cellIs" priority="2" operator="equal" aboveAverage="0" equalAverage="0" bottom="0" percent="0" rank="0" text="" dxfId="17">
      <formula>"Pass"</formula>
    </cfRule>
    <cfRule type="cellIs" priority="3" operator="equal" aboveAverage="0" equalAverage="0" bottom="0" percent="0" rank="0" text="" dxfId="18">
      <formula>"Fail"</formula>
    </cfRule>
    <cfRule type="cellIs" priority="4" operator="equal" aboveAverage="0" equalAverage="0" bottom="0" percent="0" rank="0" text="" dxfId="19">
      <formula>"Blocked"</formula>
    </cfRule>
  </conditionalFormatting>
  <dataValidations count="5">
    <dataValidation allowBlank="true" errorStyle="stop" operator="between" showDropDown="false" showErrorMessage="false" showInputMessage="false" sqref="B2:B1000" type="list">
      <formula1>Features!$A$2:$A$200</formula1>
      <formula2>0</formula2>
    </dataValidation>
    <dataValidation allowBlank="true" errorStyle="stop" operator="between" showDropDown="false" showErrorMessage="false" showInputMessage="false" sqref="D2:D1000" type="list">
      <formula1>"All sites,Mosul,Matsapha,Bunia"</formula1>
      <formula2>0</formula2>
    </dataValidation>
    <dataValidation allowBlank="true" errorStyle="stop" operator="between" showDropDown="false" showErrorMessage="false" showInputMessage="false" sqref="E2:E1000" type="list">
      <formula1>"1,2,3"</formula1>
      <formula2>0</formula2>
    </dataValidation>
    <dataValidation allowBlank="true" errorStyle="stop" operator="between" showDropDown="false" showErrorMessage="false" showInputMessage="false" sqref="K2:K1000" type="list">
      <formula1>"Critical,Normal"</formula1>
      <formula2>0</formula2>
    </dataValidation>
    <dataValidation allowBlank="true" errorStyle="stop" operator="between" showDropDown="false" showErrorMessage="false" showInputMessage="false" sqref="L2:L1000" type="list">
      <formula1>"Not run,Pass,Fail,Blocked"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6" min="4" style="0" width="8"/>
    <col collapsed="false" customWidth="true" hidden="false" outlineLevel="0" max="8" min="7" style="0" width="10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46" t="s">
        <v>212</v>
      </c>
      <c r="B1" s="46" t="s">
        <v>215</v>
      </c>
      <c r="C1" s="46" t="s">
        <v>213</v>
      </c>
      <c r="D1" s="46" t="s">
        <v>300</v>
      </c>
      <c r="E1" s="46" t="s">
        <v>301</v>
      </c>
      <c r="F1" s="46" t="s">
        <v>302</v>
      </c>
      <c r="G1" s="46" t="s">
        <v>303</v>
      </c>
      <c r="H1" s="46" t="s">
        <v>232</v>
      </c>
      <c r="J1" s="46" t="s">
        <v>214</v>
      </c>
      <c r="K1" s="47" t="s">
        <v>304</v>
      </c>
    </row>
    <row r="2" customFormat="false" ht="15" hidden="false" customHeight="false" outlineLevel="0" collapsed="false">
      <c r="A2" s="0" t="s">
        <v>239</v>
      </c>
      <c r="B2" s="0" t="n">
        <v>1</v>
      </c>
      <c r="C2" s="48" t="s">
        <v>239</v>
      </c>
      <c r="D2" s="13" t="n">
        <f aca="false">IF($A2="","",IF($K$1="All sites",COUNTIFS('User flow template'!$B$2:$B$1000,$A2),COUNTIFS('User flow template'!$B$2:$B$1000,$A2,'User flow template'!$D$2:$D$1000,$K$1)+COUNTIFS('User flow template'!$B$2:$B$1000,$A2,'User flow template'!$D$2:$D$1000,"All sites")))</f>
        <v>2</v>
      </c>
      <c r="E2" s="49" t="n">
        <f aca="false">IF($A2="","",IF($K$1="All sites",COUNTIFS('User flow template'!$B$2:$B$1000,$A2,'User flow template'!$L$2:$L$1000,"Pass"),COUNTIFS('User flow template'!$B$2:$B$1000,$A2,'User flow template'!$L$2:$L$1000,"Pass",'User flow template'!$D$2:$D$1000,$K$1)+COUNTIFS('User flow template'!$B$2:$B$1000,$A2,'User flow template'!$L$2:$L$1000,"Pass",'User flow template'!$D$2:$D$1000,"All sites")))</f>
        <v>0</v>
      </c>
      <c r="F2" s="0" t="n">
        <f aca="false">IF($A2="","",IF($K$1="All sites",COUNTIFS('User flow template'!$B$2:$B$1000,$A2,'User flow template'!$L$2:$L$1000,"Fail"),COUNTIFS('User flow template'!$B$2:$B$1000,$A2,'User flow template'!$L$2:$L$1000,"Fail",'User flow template'!$D$2:$D$1000,$K$1)+COUNTIFS('User flow template'!$B$2:$B$1000,$A2,'User flow template'!$L$2:$L$1000,"Fail",'User flow template'!$D$2:$D$1000,"All sites")))</f>
        <v>0</v>
      </c>
      <c r="G2" s="13" t="n">
        <f aca="false">IF($A2="","",IF($K$1="All sites",COUNTIFS('User flow template'!$B$2:$B$1000,$A2,'User flow template'!$L$2:$L$1000,"Blocked"),COUNTIFS('User flow template'!$B$2:$B$1000,$A2,'User flow template'!$L$2:$L$1000,"Blocked",'User flow template'!$D$2:$D$1000,$K$1)+COUNTIFS('User flow template'!$B$2:$B$1000,$A2,'User flow template'!$L$2:$L$1000,"Blocked",'User flow template'!$D$2:$D$1000,"All sites")))</f>
        <v>0</v>
      </c>
      <c r="H2" s="13" t="n">
        <f aca="false">IF($A2="","",D2-E2-F2-G2)</f>
        <v>2</v>
      </c>
    </row>
    <row r="3" customFormat="false" ht="15" hidden="false" customHeight="false" outlineLevel="0" collapsed="false">
      <c r="A3" s="0" t="s">
        <v>252</v>
      </c>
      <c r="B3" s="0" t="n">
        <v>1</v>
      </c>
      <c r="C3" s="48" t="s">
        <v>239</v>
      </c>
      <c r="D3" s="13" t="n">
        <f aca="false">IF($A3="","",IF($K$1="All sites",COUNTIFS('User flow template'!$B$2:$B$1000,$A3),COUNTIFS('User flow template'!$B$2:$B$1000,$A3,'User flow template'!$D$2:$D$1000,$K$1)+COUNTIFS('User flow template'!$B$2:$B$1000,$A3,'User flow template'!$D$2:$D$1000,"All sites")))</f>
        <v>1</v>
      </c>
      <c r="E3" s="49" t="n">
        <f aca="false">IF($A3="","",IF($K$1="All sites",COUNTIFS('User flow template'!$B$2:$B$1000,$A3,'User flow template'!$L$2:$L$1000,"Pass"),COUNTIFS('User flow template'!$B$2:$B$1000,$A3,'User flow template'!$L$2:$L$1000,"Pass",'User flow template'!$D$2:$D$1000,$K$1)+COUNTIFS('User flow template'!$B$2:$B$1000,$A3,'User flow template'!$L$2:$L$1000,"Pass",'User flow template'!$D$2:$D$1000,"All sites")))</f>
        <v>0</v>
      </c>
      <c r="F3" s="0" t="n">
        <f aca="false">IF($A3="","",IF($K$1="All sites",COUNTIFS('User flow template'!$B$2:$B$1000,$A3,'User flow template'!$L$2:$L$1000,"Fail"),COUNTIFS('User flow template'!$B$2:$B$1000,$A3,'User flow template'!$L$2:$L$1000,"Fail",'User flow template'!$D$2:$D$1000,$K$1)+COUNTIFS('User flow template'!$B$2:$B$1000,$A3,'User flow template'!$L$2:$L$1000,"Fail",'User flow template'!$D$2:$D$1000,"All sites")))</f>
        <v>0</v>
      </c>
      <c r="G3" s="13" t="n">
        <f aca="false">IF($A3="","",IF($K$1="All sites",COUNTIFS('User flow template'!$B$2:$B$1000,$A3,'User flow template'!$L$2:$L$1000,"Blocked"),COUNTIFS('User flow template'!$B$2:$B$1000,$A3,'User flow template'!$L$2:$L$1000,"Blocked",'User flow template'!$D$2:$D$1000,$K$1)+COUNTIFS('User flow template'!$B$2:$B$1000,$A3,'User flow template'!$L$2:$L$1000,"Blocked",'User flow template'!$D$2:$D$1000,"All sites")))</f>
        <v>0</v>
      </c>
      <c r="H3" s="13" t="n">
        <f aca="false">IF($A3="","",D3-E3-F3-G3)</f>
        <v>1</v>
      </c>
    </row>
    <row r="4" customFormat="false" ht="15" hidden="false" customHeight="false" outlineLevel="0" collapsed="false">
      <c r="A4" s="0" t="s">
        <v>305</v>
      </c>
      <c r="B4" s="0" t="n">
        <v>1</v>
      </c>
      <c r="C4" s="48" t="s">
        <v>306</v>
      </c>
      <c r="D4" s="13" t="n">
        <f aca="false">IF($A4="","",IF($K$1="All sites",COUNTIFS('User flow template'!$B$2:$B$1000,$A4),COUNTIFS('User flow template'!$B$2:$B$1000,$A4,'User flow template'!$D$2:$D$1000,$K$1)+COUNTIFS('User flow template'!$B$2:$B$1000,$A4,'User flow template'!$D$2:$D$1000,"All sites")))</f>
        <v>0</v>
      </c>
      <c r="E4" s="49" t="n">
        <f aca="false">IF($A4="","",IF($K$1="All sites",COUNTIFS('User flow template'!$B$2:$B$1000,$A4,'User flow template'!$L$2:$L$1000,"Pass"),COUNTIFS('User flow template'!$B$2:$B$1000,$A4,'User flow template'!$L$2:$L$1000,"Pass",'User flow template'!$D$2:$D$1000,$K$1)+COUNTIFS('User flow template'!$B$2:$B$1000,$A4,'User flow template'!$L$2:$L$1000,"Pass",'User flow template'!$D$2:$D$1000,"All sites")))</f>
        <v>0</v>
      </c>
      <c r="F4" s="0" t="n">
        <f aca="false">IF($A4="","",IF($K$1="All sites",COUNTIFS('User flow template'!$B$2:$B$1000,$A4,'User flow template'!$L$2:$L$1000,"Fail"),COUNTIFS('User flow template'!$B$2:$B$1000,$A4,'User flow template'!$L$2:$L$1000,"Fail",'User flow template'!$D$2:$D$1000,$K$1)+COUNTIFS('User flow template'!$B$2:$B$1000,$A4,'User flow template'!$L$2:$L$1000,"Fail",'User flow template'!$D$2:$D$1000,"All sites")))</f>
        <v>0</v>
      </c>
      <c r="G4" s="13" t="n">
        <f aca="false">IF($A4="","",IF($K$1="All sites",COUNTIFS('User flow template'!$B$2:$B$1000,$A4,'User flow template'!$L$2:$L$1000,"Blocked"),COUNTIFS('User flow template'!$B$2:$B$1000,$A4,'User flow template'!$L$2:$L$1000,"Blocked",'User flow template'!$D$2:$D$1000,$K$1)+COUNTIFS('User flow template'!$B$2:$B$1000,$A4,'User flow template'!$L$2:$L$1000,"Blocked",'User flow template'!$D$2:$D$1000,"All sites")))</f>
        <v>0</v>
      </c>
      <c r="H4" s="13" t="n">
        <f aca="false">IF($A4="","",D4-E4-F4-G4)</f>
        <v>0</v>
      </c>
    </row>
    <row r="5" customFormat="false" ht="15" hidden="false" customHeight="false" outlineLevel="0" collapsed="false">
      <c r="A5" s="0" t="s">
        <v>288</v>
      </c>
      <c r="B5" s="0" t="n">
        <v>1</v>
      </c>
      <c r="C5" s="48" t="s">
        <v>307</v>
      </c>
      <c r="D5" s="13" t="n">
        <f aca="false">IF($A5="","",IF($K$1="All sites",COUNTIFS('User flow template'!$B$2:$B$1000,$A5),COUNTIFS('User flow template'!$B$2:$B$1000,$A5,'User flow template'!$D$2:$D$1000,$K$1)+COUNTIFS('User flow template'!$B$2:$B$1000,$A5,'User flow template'!$D$2:$D$1000,"All sites")))</f>
        <v>1</v>
      </c>
      <c r="E5" s="49" t="n">
        <f aca="false">IF($A5="","",IF($K$1="All sites",COUNTIFS('User flow template'!$B$2:$B$1000,$A5,'User flow template'!$L$2:$L$1000,"Pass"),COUNTIFS('User flow template'!$B$2:$B$1000,$A5,'User flow template'!$L$2:$L$1000,"Pass",'User flow template'!$D$2:$D$1000,$K$1)+COUNTIFS('User flow template'!$B$2:$B$1000,$A5,'User flow template'!$L$2:$L$1000,"Pass",'User flow template'!$D$2:$D$1000,"All sites")))</f>
        <v>0</v>
      </c>
      <c r="F5" s="0" t="n">
        <f aca="false">IF($A5="","",IF($K$1="All sites",COUNTIFS('User flow template'!$B$2:$B$1000,$A5,'User flow template'!$L$2:$L$1000,"Fail"),COUNTIFS('User flow template'!$B$2:$B$1000,$A5,'User flow template'!$L$2:$L$1000,"Fail",'User flow template'!$D$2:$D$1000,$K$1)+COUNTIFS('User flow template'!$B$2:$B$1000,$A5,'User flow template'!$L$2:$L$1000,"Fail",'User flow template'!$D$2:$D$1000,"All sites")))</f>
        <v>0</v>
      </c>
      <c r="G5" s="13" t="n">
        <f aca="false">IF($A5="","",IF($K$1="All sites",COUNTIFS('User flow template'!$B$2:$B$1000,$A5,'User flow template'!$L$2:$L$1000,"Blocked"),COUNTIFS('User flow template'!$B$2:$B$1000,$A5,'User flow template'!$L$2:$L$1000,"Blocked",'User flow template'!$D$2:$D$1000,$K$1)+COUNTIFS('User flow template'!$B$2:$B$1000,$A5,'User flow template'!$L$2:$L$1000,"Blocked",'User flow template'!$D$2:$D$1000,"All sites")))</f>
        <v>0</v>
      </c>
      <c r="H5" s="13" t="n">
        <f aca="false">IF($A5="","",D5-E5-F5-G5)</f>
        <v>1</v>
      </c>
    </row>
    <row r="6" customFormat="false" ht="15" hidden="false" customHeight="false" outlineLevel="0" collapsed="false">
      <c r="A6" s="48" t="s">
        <v>226</v>
      </c>
      <c r="B6" s="48"/>
      <c r="C6" s="48" t="s">
        <v>308</v>
      </c>
      <c r="D6" s="13" t="n">
        <f aca="false">IF($A6="","",IF($K$1="All sites",COUNTIFS('User flow template'!$B$2:$B$1000,$A6),COUNTIFS('User flow template'!$B$2:$B$1000,$A6,'User flow template'!$D$2:$D$1000,$K$1)+COUNTIFS('User flow template'!$B$2:$B$1000,$A6,'User flow template'!$D$2:$D$1000,"All sites")))</f>
        <v>1</v>
      </c>
      <c r="E6" s="49" t="n">
        <f aca="false">IF($A6="","",IF($K$1="All sites",COUNTIFS('User flow template'!$B$2:$B$1000,$A6,'User flow template'!$L$2:$L$1000,"Pass"),COUNTIFS('User flow template'!$B$2:$B$1000,$A6,'User flow template'!$L$2:$L$1000,"Pass",'User flow template'!$D$2:$D$1000,$K$1)+COUNTIFS('User flow template'!$B$2:$B$1000,$A6,'User flow template'!$L$2:$L$1000,"Pass",'User flow template'!$D$2:$D$1000,"All sites")))</f>
        <v>0</v>
      </c>
      <c r="F6" s="0" t="n">
        <f aca="false">IF($A6="","",IF($K$1="All sites",COUNTIFS('User flow template'!$B$2:$B$1000,$A6,'User flow template'!$L$2:$L$1000,"Fail"),COUNTIFS('User flow template'!$B$2:$B$1000,$A6,'User flow template'!$L$2:$L$1000,"Fail",'User flow template'!$D$2:$D$1000,$K$1)+COUNTIFS('User flow template'!$B$2:$B$1000,$A6,'User flow template'!$L$2:$L$1000,"Fail",'User flow template'!$D$2:$D$1000,"All sites")))</f>
        <v>0</v>
      </c>
      <c r="G6" s="13" t="n">
        <f aca="false">IF($A6="","",IF($K$1="All sites",COUNTIFS('User flow template'!$B$2:$B$1000,$A6,'User flow template'!$L$2:$L$1000,"Blocked"),COUNTIFS('User flow template'!$B$2:$B$1000,$A6,'User flow template'!$L$2:$L$1000,"Blocked",'User flow template'!$D$2:$D$1000,$K$1)+COUNTIFS('User flow template'!$B$2:$B$1000,$A6,'User flow template'!$L$2:$L$1000,"Blocked",'User flow template'!$D$2:$D$1000,"All sites")))</f>
        <v>0</v>
      </c>
      <c r="H6" s="13" t="n">
        <f aca="false">IF($A6="","",D6-E6-F6-G6)</f>
        <v>1</v>
      </c>
    </row>
    <row r="7" customFormat="false" ht="15" hidden="false" customHeight="false" outlineLevel="0" collapsed="false">
      <c r="A7" s="48" t="s">
        <v>234</v>
      </c>
      <c r="B7" s="48"/>
      <c r="C7" s="48" t="s">
        <v>308</v>
      </c>
      <c r="D7" s="13" t="n">
        <f aca="false">IF($A7="","",IF($K$1="All sites",COUNTIFS('User flow template'!$B$2:$B$1000,$A7),COUNTIFS('User flow template'!$B$2:$B$1000,$A7,'User flow template'!$D$2:$D$1000,$K$1)+COUNTIFS('User flow template'!$B$2:$B$1000,$A7,'User flow template'!$D$2:$D$1000,"All sites")))</f>
        <v>1</v>
      </c>
      <c r="E7" s="49" t="n">
        <f aca="false">IF($A7="","",IF($K$1="All sites",COUNTIFS('User flow template'!$B$2:$B$1000,$A7,'User flow template'!$L$2:$L$1000,"Pass"),COUNTIFS('User flow template'!$B$2:$B$1000,$A7,'User flow template'!$L$2:$L$1000,"Pass",'User flow template'!$D$2:$D$1000,$K$1)+COUNTIFS('User flow template'!$B$2:$B$1000,$A7,'User flow template'!$L$2:$L$1000,"Pass",'User flow template'!$D$2:$D$1000,"All sites")))</f>
        <v>0</v>
      </c>
      <c r="F7" s="0" t="n">
        <f aca="false">IF($A7="","",IF($K$1="All sites",COUNTIFS('User flow template'!$B$2:$B$1000,$A7,'User flow template'!$L$2:$L$1000,"Fail"),COUNTIFS('User flow template'!$B$2:$B$1000,$A7,'User flow template'!$L$2:$L$1000,"Fail",'User flow template'!$D$2:$D$1000,$K$1)+COUNTIFS('User flow template'!$B$2:$B$1000,$A7,'User flow template'!$L$2:$L$1000,"Fail",'User flow template'!$D$2:$D$1000,"All sites")))</f>
        <v>0</v>
      </c>
      <c r="G7" s="13" t="n">
        <f aca="false">IF($A7="","",IF($K$1="All sites",COUNTIFS('User flow template'!$B$2:$B$1000,$A7,'User flow template'!$L$2:$L$1000,"Blocked"),COUNTIFS('User flow template'!$B$2:$B$1000,$A7,'User flow template'!$L$2:$L$1000,"Blocked",'User flow template'!$D$2:$D$1000,$K$1)+COUNTIFS('User flow template'!$B$2:$B$1000,$A7,'User flow template'!$L$2:$L$1000,"Blocked",'User flow template'!$D$2:$D$1000,"All sites")))</f>
        <v>0</v>
      </c>
      <c r="H7" s="13" t="n">
        <f aca="false">IF($A7="","",D7-E7-F7-G7)</f>
        <v>1</v>
      </c>
    </row>
    <row r="8" customFormat="false" ht="15" hidden="false" customHeight="false" outlineLevel="0" collapsed="false">
      <c r="A8" s="48" t="s">
        <v>256</v>
      </c>
      <c r="B8" s="48"/>
      <c r="C8" s="48" t="s">
        <v>308</v>
      </c>
      <c r="D8" s="13" t="n">
        <f aca="false">IF($A8="","",IF($K$1="All sites",COUNTIFS('User flow template'!$B$2:$B$1000,$A8),COUNTIFS('User flow template'!$B$2:$B$1000,$A8,'User flow template'!$D$2:$D$1000,$K$1)+COUNTIFS('User flow template'!$B$2:$B$1000,$A8,'User flow template'!$D$2:$D$1000,"All sites")))</f>
        <v>4</v>
      </c>
      <c r="E8" s="49" t="n">
        <f aca="false">IF($A8="","",IF($K$1="All sites",COUNTIFS('User flow template'!$B$2:$B$1000,$A8,'User flow template'!$L$2:$L$1000,"Pass"),COUNTIFS('User flow template'!$B$2:$B$1000,$A8,'User flow template'!$L$2:$L$1000,"Pass",'User flow template'!$D$2:$D$1000,$K$1)+COUNTIFS('User flow template'!$B$2:$B$1000,$A8,'User flow template'!$L$2:$L$1000,"Pass",'User flow template'!$D$2:$D$1000,"All sites")))</f>
        <v>0</v>
      </c>
      <c r="F8" s="0" t="n">
        <f aca="false">IF($A8="","",IF($K$1="All sites",COUNTIFS('User flow template'!$B$2:$B$1000,$A8,'User flow template'!$L$2:$L$1000,"Fail"),COUNTIFS('User flow template'!$B$2:$B$1000,$A8,'User flow template'!$L$2:$L$1000,"Fail",'User flow template'!$D$2:$D$1000,$K$1)+COUNTIFS('User flow template'!$B$2:$B$1000,$A8,'User flow template'!$L$2:$L$1000,"Fail",'User flow template'!$D$2:$D$1000,"All sites")))</f>
        <v>0</v>
      </c>
      <c r="G8" s="13" t="n">
        <f aca="false">IF($A8="","",IF($K$1="All sites",COUNTIFS('User flow template'!$B$2:$B$1000,$A8,'User flow template'!$L$2:$L$1000,"Blocked"),COUNTIFS('User flow template'!$B$2:$B$1000,$A8,'User flow template'!$L$2:$L$1000,"Blocked",'User flow template'!$D$2:$D$1000,$K$1)+COUNTIFS('User flow template'!$B$2:$B$1000,$A8,'User flow template'!$L$2:$L$1000,"Blocked",'User flow template'!$D$2:$D$1000,"All sites")))</f>
        <v>0</v>
      </c>
      <c r="H8" s="13" t="n">
        <f aca="false">IF($A8="","",D8-E8-F8-G8)</f>
        <v>4</v>
      </c>
    </row>
    <row r="9" customFormat="false" ht="15" hidden="false" customHeight="false" outlineLevel="0" collapsed="false">
      <c r="A9" s="48" t="s">
        <v>245</v>
      </c>
      <c r="B9" s="48"/>
      <c r="C9" s="48" t="s">
        <v>239</v>
      </c>
      <c r="D9" s="13" t="n">
        <f aca="false">IF($A9="","",IF($K$1="All sites",COUNTIFS('User flow template'!$B$2:$B$1000,$A9),COUNTIFS('User flow template'!$B$2:$B$1000,$A9,'User flow template'!$D$2:$D$1000,$K$1)+COUNTIFS('User flow template'!$B$2:$B$1000,$A9,'User flow template'!$D$2:$D$1000,"All sites")))</f>
        <v>1</v>
      </c>
      <c r="E9" s="49" t="n">
        <f aca="false">IF($A9="","",IF($K$1="All sites",COUNTIFS('User flow template'!$B$2:$B$1000,$A9,'User flow template'!$L$2:$L$1000,"Pass"),COUNTIFS('User flow template'!$B$2:$B$1000,$A9,'User flow template'!$L$2:$L$1000,"Pass",'User flow template'!$D$2:$D$1000,$K$1)+COUNTIFS('User flow template'!$B$2:$B$1000,$A9,'User flow template'!$L$2:$L$1000,"Pass",'User flow template'!$D$2:$D$1000,"All sites")))</f>
        <v>0</v>
      </c>
      <c r="F9" s="0" t="n">
        <f aca="false">IF($A9="","",IF($K$1="All sites",COUNTIFS('User flow template'!$B$2:$B$1000,$A9,'User flow template'!$L$2:$L$1000,"Fail"),COUNTIFS('User flow template'!$B$2:$B$1000,$A9,'User flow template'!$L$2:$L$1000,"Fail",'User flow template'!$D$2:$D$1000,$K$1)+COUNTIFS('User flow template'!$B$2:$B$1000,$A9,'User flow template'!$L$2:$L$1000,"Fail",'User flow template'!$D$2:$D$1000,"All sites")))</f>
        <v>0</v>
      </c>
      <c r="G9" s="13" t="n">
        <f aca="false">IF($A9="","",IF($K$1="All sites",COUNTIFS('User flow template'!$B$2:$B$1000,$A9,'User flow template'!$L$2:$L$1000,"Blocked"),COUNTIFS('User flow template'!$B$2:$B$1000,$A9,'User flow template'!$L$2:$L$1000,"Blocked",'User flow template'!$D$2:$D$1000,$K$1)+COUNTIFS('User flow template'!$B$2:$B$1000,$A9,'User flow template'!$L$2:$L$1000,"Blocked",'User flow template'!$D$2:$D$1000,"All sites")))</f>
        <v>0</v>
      </c>
      <c r="H9" s="13" t="n">
        <f aca="false">IF($A9="","",D9-E9-F9-G9)</f>
        <v>1</v>
      </c>
    </row>
    <row r="10" customFormat="false" ht="15" hidden="false" customHeight="false" outlineLevel="0" collapsed="false">
      <c r="A10" s="48" t="s">
        <v>267</v>
      </c>
      <c r="B10" s="48"/>
      <c r="C10" s="48" t="s">
        <v>306</v>
      </c>
      <c r="D10" s="13" t="n">
        <f aca="false">IF($A10="","",IF($K$1="All sites",COUNTIFS('User flow template'!$B$2:$B$1000,$A10),COUNTIFS('User flow template'!$B$2:$B$1000,$A10,'User flow template'!$D$2:$D$1000,$K$1)+COUNTIFS('User flow template'!$B$2:$B$1000,$A10,'User flow template'!$D$2:$D$1000,"All sites")))</f>
        <v>1</v>
      </c>
      <c r="E10" s="49" t="n">
        <f aca="false">IF($A10="","",IF($K$1="All sites",COUNTIFS('User flow template'!$B$2:$B$1000,$A10,'User flow template'!$L$2:$L$1000,"Pass"),COUNTIFS('User flow template'!$B$2:$B$1000,$A10,'User flow template'!$L$2:$L$1000,"Pass",'User flow template'!$D$2:$D$1000,$K$1)+COUNTIFS('User flow template'!$B$2:$B$1000,$A10,'User flow template'!$L$2:$L$1000,"Pass",'User flow template'!$D$2:$D$1000,"All sites")))</f>
        <v>0</v>
      </c>
      <c r="F10" s="0" t="n">
        <f aca="false">IF($A10="","",IF($K$1="All sites",COUNTIFS('User flow template'!$B$2:$B$1000,$A10,'User flow template'!$L$2:$L$1000,"Fail"),COUNTIFS('User flow template'!$B$2:$B$1000,$A10,'User flow template'!$L$2:$L$1000,"Fail",'User flow template'!$D$2:$D$1000,$K$1)+COUNTIFS('User flow template'!$B$2:$B$1000,$A10,'User flow template'!$L$2:$L$1000,"Fail",'User flow template'!$D$2:$D$1000,"All sites")))</f>
        <v>0</v>
      </c>
      <c r="G10" s="13" t="n">
        <f aca="false">IF($A10="","",IF($K$1="All sites",COUNTIFS('User flow template'!$B$2:$B$1000,$A10,'User flow template'!$L$2:$L$1000,"Blocked"),COUNTIFS('User flow template'!$B$2:$B$1000,$A10,'User flow template'!$L$2:$L$1000,"Blocked",'User flow template'!$D$2:$D$1000,$K$1)+COUNTIFS('User flow template'!$B$2:$B$1000,$A10,'User flow template'!$L$2:$L$1000,"Blocked",'User flow template'!$D$2:$D$1000,"All sites")))</f>
        <v>0</v>
      </c>
      <c r="H10" s="13" t="n">
        <f aca="false">IF($A10="","",D10-E10-F10-G10)</f>
        <v>1</v>
      </c>
    </row>
    <row r="11" customFormat="false" ht="15" hidden="false" customHeight="false" outlineLevel="0" collapsed="false">
      <c r="A11" s="48" t="s">
        <v>271</v>
      </c>
      <c r="B11" s="48"/>
      <c r="C11" s="48" t="s">
        <v>306</v>
      </c>
      <c r="D11" s="13" t="n">
        <f aca="false">IF($A11="","",IF($K$1="All sites",COUNTIFS('User flow template'!$B$2:$B$1000,$A11),COUNTIFS('User flow template'!$B$2:$B$1000,$A11,'User flow template'!$D$2:$D$1000,$K$1)+COUNTIFS('User flow template'!$B$2:$B$1000,$A11,'User flow template'!$D$2:$D$1000,"All sites")))</f>
        <v>2</v>
      </c>
      <c r="E11" s="49" t="n">
        <f aca="false">IF($A11="","",IF($K$1="All sites",COUNTIFS('User flow template'!$B$2:$B$1000,$A11,'User flow template'!$L$2:$L$1000,"Pass"),COUNTIFS('User flow template'!$B$2:$B$1000,$A11,'User flow template'!$L$2:$L$1000,"Pass",'User flow template'!$D$2:$D$1000,$K$1)+COUNTIFS('User flow template'!$B$2:$B$1000,$A11,'User flow template'!$L$2:$L$1000,"Pass",'User flow template'!$D$2:$D$1000,"All sites")))</f>
        <v>0</v>
      </c>
      <c r="F11" s="0" t="n">
        <f aca="false">IF($A11="","",IF($K$1="All sites",COUNTIFS('User flow template'!$B$2:$B$1000,$A11,'User flow template'!$L$2:$L$1000,"Fail"),COUNTIFS('User flow template'!$B$2:$B$1000,$A11,'User flow template'!$L$2:$L$1000,"Fail",'User flow template'!$D$2:$D$1000,$K$1)+COUNTIFS('User flow template'!$B$2:$B$1000,$A11,'User flow template'!$L$2:$L$1000,"Fail",'User flow template'!$D$2:$D$1000,"All sites")))</f>
        <v>0</v>
      </c>
      <c r="G11" s="13" t="n">
        <f aca="false">IF($A11="","",IF($K$1="All sites",COUNTIFS('User flow template'!$B$2:$B$1000,$A11,'User flow template'!$L$2:$L$1000,"Blocked"),COUNTIFS('User flow template'!$B$2:$B$1000,$A11,'User flow template'!$L$2:$L$1000,"Blocked",'User flow template'!$D$2:$D$1000,$K$1)+COUNTIFS('User flow template'!$B$2:$B$1000,$A11,'User flow template'!$L$2:$L$1000,"Blocked",'User flow template'!$D$2:$D$1000,"All sites")))</f>
        <v>0</v>
      </c>
      <c r="H11" s="13" t="n">
        <f aca="false">IF($A11="","",D11-E11-F11-G11)</f>
        <v>2</v>
      </c>
    </row>
    <row r="12" customFormat="false" ht="15" hidden="false" customHeight="false" outlineLevel="0" collapsed="false">
      <c r="A12" s="48" t="s">
        <v>280</v>
      </c>
      <c r="B12" s="48"/>
      <c r="C12" s="48" t="s">
        <v>306</v>
      </c>
      <c r="D12" s="13" t="n">
        <f aca="false">IF($A12="","",IF($K$1="All sites",COUNTIFS('User flow template'!$B$2:$B$1000,$A12),COUNTIFS('User flow template'!$B$2:$B$1000,$A12,'User flow template'!$D$2:$D$1000,$K$1)+COUNTIFS('User flow template'!$B$2:$B$1000,$A12,'User flow template'!$D$2:$D$1000,"All sites")))</f>
        <v>1</v>
      </c>
      <c r="E12" s="49" t="n">
        <f aca="false">IF($A12="","",IF($K$1="All sites",COUNTIFS('User flow template'!$B$2:$B$1000,$A12,'User flow template'!$L$2:$L$1000,"Pass"),COUNTIFS('User flow template'!$B$2:$B$1000,$A12,'User flow template'!$L$2:$L$1000,"Pass",'User flow template'!$D$2:$D$1000,$K$1)+COUNTIFS('User flow template'!$B$2:$B$1000,$A12,'User flow template'!$L$2:$L$1000,"Pass",'User flow template'!$D$2:$D$1000,"All sites")))</f>
        <v>0</v>
      </c>
      <c r="F12" s="0" t="n">
        <f aca="false">IF($A12="","",IF($K$1="All sites",COUNTIFS('User flow template'!$B$2:$B$1000,$A12,'User flow template'!$L$2:$L$1000,"Fail"),COUNTIFS('User flow template'!$B$2:$B$1000,$A12,'User flow template'!$L$2:$L$1000,"Fail",'User flow template'!$D$2:$D$1000,$K$1)+COUNTIFS('User flow template'!$B$2:$B$1000,$A12,'User flow template'!$L$2:$L$1000,"Fail",'User flow template'!$D$2:$D$1000,"All sites")))</f>
        <v>0</v>
      </c>
      <c r="G12" s="13" t="n">
        <f aca="false">IF($A12="","",IF($K$1="All sites",COUNTIFS('User flow template'!$B$2:$B$1000,$A12,'User flow template'!$L$2:$L$1000,"Blocked"),COUNTIFS('User flow template'!$B$2:$B$1000,$A12,'User flow template'!$L$2:$L$1000,"Blocked",'User flow template'!$D$2:$D$1000,$K$1)+COUNTIFS('User flow template'!$B$2:$B$1000,$A12,'User flow template'!$L$2:$L$1000,"Blocked",'User flow template'!$D$2:$D$1000,"All sites")))</f>
        <v>0</v>
      </c>
      <c r="H12" s="13" t="n">
        <f aca="false">IF($A12="","",D12-E12-F12-G12)</f>
        <v>1</v>
      </c>
    </row>
    <row r="13" customFormat="false" ht="15" hidden="false" customHeight="false" outlineLevel="0" collapsed="false">
      <c r="A13" s="48" t="s">
        <v>284</v>
      </c>
      <c r="B13" s="48"/>
      <c r="C13" s="48" t="s">
        <v>306</v>
      </c>
      <c r="D13" s="13" t="n">
        <f aca="false">IF($A13="","",IF($K$1="All sites",COUNTIFS('User flow template'!$B$2:$B$1000,$A13),COUNTIFS('User flow template'!$B$2:$B$1000,$A13,'User flow template'!$D$2:$D$1000,$K$1)+COUNTIFS('User flow template'!$B$2:$B$1000,$A13,'User flow template'!$D$2:$D$1000,"All sites")))</f>
        <v>1</v>
      </c>
      <c r="E13" s="49" t="n">
        <f aca="false">IF($A13="","",IF($K$1="All sites",COUNTIFS('User flow template'!$B$2:$B$1000,$A13,'User flow template'!$L$2:$L$1000,"Pass"),COUNTIFS('User flow template'!$B$2:$B$1000,$A13,'User flow template'!$L$2:$L$1000,"Pass",'User flow template'!$D$2:$D$1000,$K$1)+COUNTIFS('User flow template'!$B$2:$B$1000,$A13,'User flow template'!$L$2:$L$1000,"Pass",'User flow template'!$D$2:$D$1000,"All sites")))</f>
        <v>0</v>
      </c>
      <c r="F13" s="0" t="n">
        <f aca="false">IF($A13="","",IF($K$1="All sites",COUNTIFS('User flow template'!$B$2:$B$1000,$A13,'User flow template'!$L$2:$L$1000,"Fail"),COUNTIFS('User flow template'!$B$2:$B$1000,$A13,'User flow template'!$L$2:$L$1000,"Fail",'User flow template'!$D$2:$D$1000,$K$1)+COUNTIFS('User flow template'!$B$2:$B$1000,$A13,'User flow template'!$L$2:$L$1000,"Fail",'User flow template'!$D$2:$D$1000,"All sites")))</f>
        <v>0</v>
      </c>
      <c r="G13" s="13" t="n">
        <f aca="false">IF($A13="","",IF($K$1="All sites",COUNTIFS('User flow template'!$B$2:$B$1000,$A13,'User flow template'!$L$2:$L$1000,"Blocked"),COUNTIFS('User flow template'!$B$2:$B$1000,$A13,'User flow template'!$L$2:$L$1000,"Blocked",'User flow template'!$D$2:$D$1000,$K$1)+COUNTIFS('User flow template'!$B$2:$B$1000,$A13,'User flow template'!$L$2:$L$1000,"Blocked",'User flow template'!$D$2:$D$1000,"All sites")))</f>
        <v>0</v>
      </c>
      <c r="H13" s="13" t="n">
        <f aca="false">IF($A13="","",D13-E13-F13-G13)</f>
        <v>1</v>
      </c>
    </row>
    <row r="14" customFormat="false" ht="15" hidden="false" customHeight="false" outlineLevel="0" collapsed="false">
      <c r="D14" s="0" t="str">
        <f aca="false">IF($A14="","",IF($K$1="All sites",COUNTIFS('User flow template'!$B$2:$B$1000,$A14),COUNTIFS('User flow template'!$B$2:$B$1000,$A14,'User flow template'!$D$2:$D$1000,$K$1)+COUNTIFS('User flow template'!$B$2:$B$1000,$A14,'User flow template'!$D$2:$D$1000,"All sites")))</f>
        <v/>
      </c>
      <c r="E14" s="49" t="str">
        <f aca="false">IF($A14="","",IF($K$1="All sites",COUNTIFS('User flow template'!$B$2:$B$1000,$A14,'User flow template'!$L$2:$L$1000,"Pass"),COUNTIFS('User flow template'!$B$2:$B$1000,$A14,'User flow template'!$L$2:$L$1000,"Pass",'User flow template'!$D$2:$D$1000,$K$1)+COUNTIFS('User flow template'!$B$2:$B$1000,$A14,'User flow template'!$L$2:$L$1000,"Pass",'User flow template'!$D$2:$D$1000,"All sites")))</f>
        <v/>
      </c>
      <c r="F14" s="0" t="str">
        <f aca="false">IF($A14="","",IF($K$1="All sites",COUNTIFS('User flow template'!$B$2:$B$1000,$A14,'User flow template'!$L$2:$L$1000,"Fail"),COUNTIFS('User flow template'!$B$2:$B$1000,$A14,'User flow template'!$L$2:$L$1000,"Fail",'User flow template'!$D$2:$D$1000,$K$1)+COUNTIFS('User flow template'!$B$2:$B$1000,$A14,'User flow template'!$L$2:$L$1000,"Fail",'User flow template'!$D$2:$D$1000,"All sites")))</f>
        <v/>
      </c>
      <c r="G14" s="0" t="str">
        <f aca="false">IF($A14="","",IF($K$1="All sites",COUNTIFS('User flow template'!$B$2:$B$1000,$A14,'User flow template'!$L$2:$L$1000,"Blocked"),COUNTIFS('User flow template'!$B$2:$B$1000,$A14,'User flow template'!$L$2:$L$1000,"Blocked",'User flow template'!$D$2:$D$1000,$K$1)+COUNTIFS('User flow template'!$B$2:$B$1000,$A14,'User flow template'!$L$2:$L$1000,"Blocked",'User flow template'!$D$2:$D$1000,"All sites")))</f>
        <v/>
      </c>
      <c r="H14" s="0" t="str">
        <f aca="false">IF($A14="","",D14-E14-F14-G14)</f>
        <v/>
      </c>
    </row>
    <row r="15" customFormat="false" ht="15" hidden="false" customHeight="false" outlineLevel="0" collapsed="false">
      <c r="D15" s="0" t="str">
        <f aca="false">IF($A15="","",IF($K$1="All sites",COUNTIFS('User flow template'!$B$2:$B$1000,$A15),COUNTIFS('User flow template'!$B$2:$B$1000,$A15,'User flow template'!$D$2:$D$1000,$K$1)+COUNTIFS('User flow template'!$B$2:$B$1000,$A15,'User flow template'!$D$2:$D$1000,"All sites")))</f>
        <v/>
      </c>
      <c r="E15" s="49" t="str">
        <f aca="false">IF($A15="","",IF($K$1="All sites",COUNTIFS('User flow template'!$B$2:$B$1000,$A15,'User flow template'!$L$2:$L$1000,"Pass"),COUNTIFS('User flow template'!$B$2:$B$1000,$A15,'User flow template'!$L$2:$L$1000,"Pass",'User flow template'!$D$2:$D$1000,$K$1)+COUNTIFS('User flow template'!$B$2:$B$1000,$A15,'User flow template'!$L$2:$L$1000,"Pass",'User flow template'!$D$2:$D$1000,"All sites")))</f>
        <v/>
      </c>
      <c r="F15" s="0" t="str">
        <f aca="false">IF($A15="","",IF($K$1="All sites",COUNTIFS('User flow template'!$B$2:$B$1000,$A15,'User flow template'!$L$2:$L$1000,"Fail"),COUNTIFS('User flow template'!$B$2:$B$1000,$A15,'User flow template'!$L$2:$L$1000,"Fail",'User flow template'!$D$2:$D$1000,$K$1)+COUNTIFS('User flow template'!$B$2:$B$1000,$A15,'User flow template'!$L$2:$L$1000,"Fail",'User flow template'!$D$2:$D$1000,"All sites")))</f>
        <v/>
      </c>
      <c r="G15" s="0" t="str">
        <f aca="false">IF($A15="","",IF($K$1="All sites",COUNTIFS('User flow template'!$B$2:$B$1000,$A15,'User flow template'!$L$2:$L$1000,"Blocked"),COUNTIFS('User flow template'!$B$2:$B$1000,$A15,'User flow template'!$L$2:$L$1000,"Blocked",'User flow template'!$D$2:$D$1000,$K$1)+COUNTIFS('User flow template'!$B$2:$B$1000,$A15,'User flow template'!$L$2:$L$1000,"Blocked",'User flow template'!$D$2:$D$1000,"All sites")))</f>
        <v/>
      </c>
      <c r="H15" s="0" t="str">
        <f aca="false">IF($A15="","",D15-E15-F15-G15)</f>
        <v/>
      </c>
    </row>
    <row r="16" customFormat="false" ht="15" hidden="false" customHeight="false" outlineLevel="0" collapsed="false">
      <c r="D16" s="0" t="str">
        <f aca="false">IF($A16="","",IF($K$1="All sites",COUNTIFS('User flow template'!$B$2:$B$1000,$A16),COUNTIFS('User flow template'!$B$2:$B$1000,$A16,'User flow template'!$D$2:$D$1000,$K$1)+COUNTIFS('User flow template'!$B$2:$B$1000,$A16,'User flow template'!$D$2:$D$1000,"All sites")))</f>
        <v/>
      </c>
      <c r="E16" s="49" t="str">
        <f aca="false">IF($A16="","",IF($K$1="All sites",COUNTIFS('User flow template'!$B$2:$B$1000,$A16,'User flow template'!$L$2:$L$1000,"Pass"),COUNTIFS('User flow template'!$B$2:$B$1000,$A16,'User flow template'!$L$2:$L$1000,"Pass",'User flow template'!$D$2:$D$1000,$K$1)+COUNTIFS('User flow template'!$B$2:$B$1000,$A16,'User flow template'!$L$2:$L$1000,"Pass",'User flow template'!$D$2:$D$1000,"All sites")))</f>
        <v/>
      </c>
      <c r="F16" s="0" t="str">
        <f aca="false">IF($A16="","",IF($K$1="All sites",COUNTIFS('User flow template'!$B$2:$B$1000,$A16,'User flow template'!$L$2:$L$1000,"Fail"),COUNTIFS('User flow template'!$B$2:$B$1000,$A16,'User flow template'!$L$2:$L$1000,"Fail",'User flow template'!$D$2:$D$1000,$K$1)+COUNTIFS('User flow template'!$B$2:$B$1000,$A16,'User flow template'!$L$2:$L$1000,"Fail",'User flow template'!$D$2:$D$1000,"All sites")))</f>
        <v/>
      </c>
      <c r="G16" s="0" t="str">
        <f aca="false">IF($A16="","",IF($K$1="All sites",COUNTIFS('User flow template'!$B$2:$B$1000,$A16,'User flow template'!$L$2:$L$1000,"Blocked"),COUNTIFS('User flow template'!$B$2:$B$1000,$A16,'User flow template'!$L$2:$L$1000,"Blocked",'User flow template'!$D$2:$D$1000,$K$1)+COUNTIFS('User flow template'!$B$2:$B$1000,$A16,'User flow template'!$L$2:$L$1000,"Blocked",'User flow template'!$D$2:$D$1000,"All sites")))</f>
        <v/>
      </c>
      <c r="H16" s="0" t="str">
        <f aca="false">IF($A16="","",D16-E16-F16-G16)</f>
        <v/>
      </c>
    </row>
    <row r="17" customFormat="false" ht="15" hidden="false" customHeight="false" outlineLevel="0" collapsed="false">
      <c r="D17" s="0" t="str">
        <f aca="false">IF($A17="","",IF($K$1="All sites",COUNTIFS('User flow template'!$B$2:$B$1000,$A17),COUNTIFS('User flow template'!$B$2:$B$1000,$A17,'User flow template'!$D$2:$D$1000,$K$1)+COUNTIFS('User flow template'!$B$2:$B$1000,$A17,'User flow template'!$D$2:$D$1000,"All sites")))</f>
        <v/>
      </c>
      <c r="E17" s="49" t="str">
        <f aca="false">IF($A17="","",IF($K$1="All sites",COUNTIFS('User flow template'!$B$2:$B$1000,$A17,'User flow template'!$L$2:$L$1000,"Pass"),COUNTIFS('User flow template'!$B$2:$B$1000,$A17,'User flow template'!$L$2:$L$1000,"Pass",'User flow template'!$D$2:$D$1000,$K$1)+COUNTIFS('User flow template'!$B$2:$B$1000,$A17,'User flow template'!$L$2:$L$1000,"Pass",'User flow template'!$D$2:$D$1000,"All sites")))</f>
        <v/>
      </c>
      <c r="F17" s="0" t="str">
        <f aca="false">IF($A17="","",IF($K$1="All sites",COUNTIFS('User flow template'!$B$2:$B$1000,$A17,'User flow template'!$L$2:$L$1000,"Fail"),COUNTIFS('User flow template'!$B$2:$B$1000,$A17,'User flow template'!$L$2:$L$1000,"Fail",'User flow template'!$D$2:$D$1000,$K$1)+COUNTIFS('User flow template'!$B$2:$B$1000,$A17,'User flow template'!$L$2:$L$1000,"Fail",'User flow template'!$D$2:$D$1000,"All sites")))</f>
        <v/>
      </c>
      <c r="G17" s="0" t="str">
        <f aca="false">IF($A17="","",IF($K$1="All sites",COUNTIFS('User flow template'!$B$2:$B$1000,$A17,'User flow template'!$L$2:$L$1000,"Blocked"),COUNTIFS('User flow template'!$B$2:$B$1000,$A17,'User flow template'!$L$2:$L$1000,"Blocked",'User flow template'!$D$2:$D$1000,$K$1)+COUNTIFS('User flow template'!$B$2:$B$1000,$A17,'User flow template'!$L$2:$L$1000,"Blocked",'User flow template'!$D$2:$D$1000,"All sites")))</f>
        <v/>
      </c>
      <c r="H17" s="0" t="str">
        <f aca="false">IF($A17="","",D17-E17-F17-G17)</f>
        <v/>
      </c>
    </row>
    <row r="18" customFormat="false" ht="15" hidden="false" customHeight="false" outlineLevel="0" collapsed="false">
      <c r="D18" s="0" t="str">
        <f aca="false">IF($A18="","",IF($K$1="All sites",COUNTIFS('User flow template'!$B$2:$B$1000,$A18),COUNTIFS('User flow template'!$B$2:$B$1000,$A18,'User flow template'!$D$2:$D$1000,$K$1)+COUNTIFS('User flow template'!$B$2:$B$1000,$A18,'User flow template'!$D$2:$D$1000,"All sites")))</f>
        <v/>
      </c>
      <c r="E18" s="49" t="str">
        <f aca="false">IF($A18="","",IF($K$1="All sites",COUNTIFS('User flow template'!$B$2:$B$1000,$A18,'User flow template'!$L$2:$L$1000,"Pass"),COUNTIFS('User flow template'!$B$2:$B$1000,$A18,'User flow template'!$L$2:$L$1000,"Pass",'User flow template'!$D$2:$D$1000,$K$1)+COUNTIFS('User flow template'!$B$2:$B$1000,$A18,'User flow template'!$L$2:$L$1000,"Pass",'User flow template'!$D$2:$D$1000,"All sites")))</f>
        <v/>
      </c>
      <c r="F18" s="0" t="str">
        <f aca="false">IF($A18="","",IF($K$1="All sites",COUNTIFS('User flow template'!$B$2:$B$1000,$A18,'User flow template'!$L$2:$L$1000,"Fail"),COUNTIFS('User flow template'!$B$2:$B$1000,$A18,'User flow template'!$L$2:$L$1000,"Fail",'User flow template'!$D$2:$D$1000,$K$1)+COUNTIFS('User flow template'!$B$2:$B$1000,$A18,'User flow template'!$L$2:$L$1000,"Fail",'User flow template'!$D$2:$D$1000,"All sites")))</f>
        <v/>
      </c>
      <c r="G18" s="0" t="str">
        <f aca="false">IF($A18="","",IF($K$1="All sites",COUNTIFS('User flow template'!$B$2:$B$1000,$A18,'User flow template'!$L$2:$L$1000,"Blocked"),COUNTIFS('User flow template'!$B$2:$B$1000,$A18,'User flow template'!$L$2:$L$1000,"Blocked",'User flow template'!$D$2:$D$1000,$K$1)+COUNTIFS('User flow template'!$B$2:$B$1000,$A18,'User flow template'!$L$2:$L$1000,"Blocked",'User flow template'!$D$2:$D$1000,"All sites")))</f>
        <v/>
      </c>
      <c r="H18" s="0" t="str">
        <f aca="false">IF($A18="","",D18-E18-F18-G18)</f>
        <v/>
      </c>
    </row>
    <row r="19" customFormat="false" ht="15" hidden="false" customHeight="false" outlineLevel="0" collapsed="false">
      <c r="D19" s="0" t="str">
        <f aca="false">IF($A19="","",IF($K$1="All sites",COUNTIFS('User flow template'!$B$2:$B$1000,$A19),COUNTIFS('User flow template'!$B$2:$B$1000,$A19,'User flow template'!$D$2:$D$1000,$K$1)+COUNTIFS('User flow template'!$B$2:$B$1000,$A19,'User flow template'!$D$2:$D$1000,"All sites")))</f>
        <v/>
      </c>
      <c r="E19" s="49" t="str">
        <f aca="false">IF($A19="","",IF($K$1="All sites",COUNTIFS('User flow template'!$B$2:$B$1000,$A19,'User flow template'!$L$2:$L$1000,"Pass"),COUNTIFS('User flow template'!$B$2:$B$1000,$A19,'User flow template'!$L$2:$L$1000,"Pass",'User flow template'!$D$2:$D$1000,$K$1)+COUNTIFS('User flow template'!$B$2:$B$1000,$A19,'User flow template'!$L$2:$L$1000,"Pass",'User flow template'!$D$2:$D$1000,"All sites")))</f>
        <v/>
      </c>
      <c r="F19" s="0" t="str">
        <f aca="false">IF($A19="","",IF($K$1="All sites",COUNTIFS('User flow template'!$B$2:$B$1000,$A19,'User flow template'!$L$2:$L$1000,"Fail"),COUNTIFS('User flow template'!$B$2:$B$1000,$A19,'User flow template'!$L$2:$L$1000,"Fail",'User flow template'!$D$2:$D$1000,$K$1)+COUNTIFS('User flow template'!$B$2:$B$1000,$A19,'User flow template'!$L$2:$L$1000,"Fail",'User flow template'!$D$2:$D$1000,"All sites")))</f>
        <v/>
      </c>
      <c r="G19" s="0" t="str">
        <f aca="false">IF($A19="","",IF($K$1="All sites",COUNTIFS('User flow template'!$B$2:$B$1000,$A19,'User flow template'!$L$2:$L$1000,"Blocked"),COUNTIFS('User flow template'!$B$2:$B$1000,$A19,'User flow template'!$L$2:$L$1000,"Blocked",'User flow template'!$D$2:$D$1000,$K$1)+COUNTIFS('User flow template'!$B$2:$B$1000,$A19,'User flow template'!$L$2:$L$1000,"Blocked",'User flow template'!$D$2:$D$1000,"All sites")))</f>
        <v/>
      </c>
      <c r="H19" s="0" t="str">
        <f aca="false">IF($A19="","",D19-E19-F19-G19)</f>
        <v/>
      </c>
    </row>
    <row r="20" customFormat="false" ht="15" hidden="false" customHeight="false" outlineLevel="0" collapsed="false">
      <c r="D20" s="0" t="str">
        <f aca="false">IF($A20="","",IF($K$1="All sites",COUNTIFS('User flow template'!$B$2:$B$1000,$A20),COUNTIFS('User flow template'!$B$2:$B$1000,$A20,'User flow template'!$D$2:$D$1000,$K$1)+COUNTIFS('User flow template'!$B$2:$B$1000,$A20,'User flow template'!$D$2:$D$1000,"All sites")))</f>
        <v/>
      </c>
      <c r="E20" s="49" t="str">
        <f aca="false">IF($A20="","",IF($K$1="All sites",COUNTIFS('User flow template'!$B$2:$B$1000,$A20,'User flow template'!$L$2:$L$1000,"Pass"),COUNTIFS('User flow template'!$B$2:$B$1000,$A20,'User flow template'!$L$2:$L$1000,"Pass",'User flow template'!$D$2:$D$1000,$K$1)+COUNTIFS('User flow template'!$B$2:$B$1000,$A20,'User flow template'!$L$2:$L$1000,"Pass",'User flow template'!$D$2:$D$1000,"All sites")))</f>
        <v/>
      </c>
      <c r="F20" s="0" t="str">
        <f aca="false">IF($A20="","",IF($K$1="All sites",COUNTIFS('User flow template'!$B$2:$B$1000,$A20,'User flow template'!$L$2:$L$1000,"Fail"),COUNTIFS('User flow template'!$B$2:$B$1000,$A20,'User flow template'!$L$2:$L$1000,"Fail",'User flow template'!$D$2:$D$1000,$K$1)+COUNTIFS('User flow template'!$B$2:$B$1000,$A20,'User flow template'!$L$2:$L$1000,"Fail",'User flow template'!$D$2:$D$1000,"All sites")))</f>
        <v/>
      </c>
      <c r="G20" s="0" t="str">
        <f aca="false">IF($A20="","",IF($K$1="All sites",COUNTIFS('User flow template'!$B$2:$B$1000,$A20,'User flow template'!$L$2:$L$1000,"Blocked"),COUNTIFS('User flow template'!$B$2:$B$1000,$A20,'User flow template'!$L$2:$L$1000,"Blocked",'User flow template'!$D$2:$D$1000,$K$1)+COUNTIFS('User flow template'!$B$2:$B$1000,$A20,'User flow template'!$L$2:$L$1000,"Blocked",'User flow template'!$D$2:$D$1000,"All sites")))</f>
        <v/>
      </c>
      <c r="H20" s="0" t="str">
        <f aca="false">IF($A20="","",D20-E20-F20-G20)</f>
        <v/>
      </c>
    </row>
    <row r="21" customFormat="false" ht="15" hidden="false" customHeight="false" outlineLevel="0" collapsed="false">
      <c r="D21" s="0" t="str">
        <f aca="false">IF($A21="","",IF($K$1="All sites",COUNTIFS('User flow template'!$B$2:$B$1000,$A21),COUNTIFS('User flow template'!$B$2:$B$1000,$A21,'User flow template'!$D$2:$D$1000,$K$1)+COUNTIFS('User flow template'!$B$2:$B$1000,$A21,'User flow template'!$D$2:$D$1000,"All sites")))</f>
        <v/>
      </c>
      <c r="E21" s="49" t="str">
        <f aca="false">IF($A21="","",IF($K$1="All sites",COUNTIFS('User flow template'!$B$2:$B$1000,$A21,'User flow template'!$L$2:$L$1000,"Pass"),COUNTIFS('User flow template'!$B$2:$B$1000,$A21,'User flow template'!$L$2:$L$1000,"Pass",'User flow template'!$D$2:$D$1000,$K$1)+COUNTIFS('User flow template'!$B$2:$B$1000,$A21,'User flow template'!$L$2:$L$1000,"Pass",'User flow template'!$D$2:$D$1000,"All sites")))</f>
        <v/>
      </c>
      <c r="F21" s="0" t="str">
        <f aca="false">IF($A21="","",IF($K$1="All sites",COUNTIFS('User flow template'!$B$2:$B$1000,$A21,'User flow template'!$L$2:$L$1000,"Fail"),COUNTIFS('User flow template'!$B$2:$B$1000,$A21,'User flow template'!$L$2:$L$1000,"Fail",'User flow template'!$D$2:$D$1000,$K$1)+COUNTIFS('User flow template'!$B$2:$B$1000,$A21,'User flow template'!$L$2:$L$1000,"Fail",'User flow template'!$D$2:$D$1000,"All sites")))</f>
        <v/>
      </c>
      <c r="G21" s="0" t="str">
        <f aca="false">IF($A21="","",IF($K$1="All sites",COUNTIFS('User flow template'!$B$2:$B$1000,$A21,'User flow template'!$L$2:$L$1000,"Blocked"),COUNTIFS('User flow template'!$B$2:$B$1000,$A21,'User flow template'!$L$2:$L$1000,"Blocked",'User flow template'!$D$2:$D$1000,$K$1)+COUNTIFS('User flow template'!$B$2:$B$1000,$A21,'User flow template'!$L$2:$L$1000,"Blocked",'User flow template'!$D$2:$D$1000,"All sites")))</f>
        <v/>
      </c>
      <c r="H21" s="0" t="str">
        <f aca="false">IF($A21="","",D21-E21-F21-G21)</f>
        <v/>
      </c>
    </row>
    <row r="22" customFormat="false" ht="15" hidden="false" customHeight="false" outlineLevel="0" collapsed="false">
      <c r="D22" s="0" t="str">
        <f aca="false">IF($A22="","",IF($K$1="All sites",COUNTIFS('User flow template'!$B$2:$B$1000,$A22),COUNTIFS('User flow template'!$B$2:$B$1000,$A22,'User flow template'!$D$2:$D$1000,$K$1)+COUNTIFS('User flow template'!$B$2:$B$1000,$A22,'User flow template'!$D$2:$D$1000,"All sites")))</f>
        <v/>
      </c>
      <c r="E22" s="49" t="str">
        <f aca="false">IF($A22="","",IF($K$1="All sites",COUNTIFS('User flow template'!$B$2:$B$1000,$A22,'User flow template'!$L$2:$L$1000,"Pass"),COUNTIFS('User flow template'!$B$2:$B$1000,$A22,'User flow template'!$L$2:$L$1000,"Pass",'User flow template'!$D$2:$D$1000,$K$1)+COUNTIFS('User flow template'!$B$2:$B$1000,$A22,'User flow template'!$L$2:$L$1000,"Pass",'User flow template'!$D$2:$D$1000,"All sites")))</f>
        <v/>
      </c>
      <c r="F22" s="0" t="str">
        <f aca="false">IF($A22="","",IF($K$1="All sites",COUNTIFS('User flow template'!$B$2:$B$1000,$A22,'User flow template'!$L$2:$L$1000,"Fail"),COUNTIFS('User flow template'!$B$2:$B$1000,$A22,'User flow template'!$L$2:$L$1000,"Fail",'User flow template'!$D$2:$D$1000,$K$1)+COUNTIFS('User flow template'!$B$2:$B$1000,$A22,'User flow template'!$L$2:$L$1000,"Fail",'User flow template'!$D$2:$D$1000,"All sites")))</f>
        <v/>
      </c>
      <c r="G22" s="0" t="str">
        <f aca="false">IF($A22="","",IF($K$1="All sites",COUNTIFS('User flow template'!$B$2:$B$1000,$A22,'User flow template'!$L$2:$L$1000,"Blocked"),COUNTIFS('User flow template'!$B$2:$B$1000,$A22,'User flow template'!$L$2:$L$1000,"Blocked",'User flow template'!$D$2:$D$1000,$K$1)+COUNTIFS('User flow template'!$B$2:$B$1000,$A22,'User flow template'!$L$2:$L$1000,"Blocked",'User flow template'!$D$2:$D$1000,"All sites")))</f>
        <v/>
      </c>
      <c r="H22" s="0" t="str">
        <f aca="false">IF($A22="","",D22-E22-F22-G22)</f>
        <v/>
      </c>
    </row>
    <row r="23" customFormat="false" ht="15" hidden="false" customHeight="false" outlineLevel="0" collapsed="false">
      <c r="D23" s="0" t="str">
        <f aca="false">IF($A23="","",IF($K$1="All sites",COUNTIFS('User flow template'!$B$2:$B$1000,$A23),COUNTIFS('User flow template'!$B$2:$B$1000,$A23,'User flow template'!$D$2:$D$1000,$K$1)+COUNTIFS('User flow template'!$B$2:$B$1000,$A23,'User flow template'!$D$2:$D$1000,"All sites")))</f>
        <v/>
      </c>
      <c r="E23" s="49" t="str">
        <f aca="false">IF($A23="","",IF($K$1="All sites",COUNTIFS('User flow template'!$B$2:$B$1000,$A23,'User flow template'!$L$2:$L$1000,"Pass"),COUNTIFS('User flow template'!$B$2:$B$1000,$A23,'User flow template'!$L$2:$L$1000,"Pass",'User flow template'!$D$2:$D$1000,$K$1)+COUNTIFS('User flow template'!$B$2:$B$1000,$A23,'User flow template'!$L$2:$L$1000,"Pass",'User flow template'!$D$2:$D$1000,"All sites")))</f>
        <v/>
      </c>
      <c r="F23" s="0" t="str">
        <f aca="false">IF($A23="","",IF($K$1="All sites",COUNTIFS('User flow template'!$B$2:$B$1000,$A23,'User flow template'!$L$2:$L$1000,"Fail"),COUNTIFS('User flow template'!$B$2:$B$1000,$A23,'User flow template'!$L$2:$L$1000,"Fail",'User flow template'!$D$2:$D$1000,$K$1)+COUNTIFS('User flow template'!$B$2:$B$1000,$A23,'User flow template'!$L$2:$L$1000,"Fail",'User flow template'!$D$2:$D$1000,"All sites")))</f>
        <v/>
      </c>
      <c r="G23" s="0" t="str">
        <f aca="false">IF($A23="","",IF($K$1="All sites",COUNTIFS('User flow template'!$B$2:$B$1000,$A23,'User flow template'!$L$2:$L$1000,"Blocked"),COUNTIFS('User flow template'!$B$2:$B$1000,$A23,'User flow template'!$L$2:$L$1000,"Blocked",'User flow template'!$D$2:$D$1000,$K$1)+COUNTIFS('User flow template'!$B$2:$B$1000,$A23,'User flow template'!$L$2:$L$1000,"Blocked",'User flow template'!$D$2:$D$1000,"All sites")))</f>
        <v/>
      </c>
      <c r="H23" s="0" t="str">
        <f aca="false">IF($A23="","",D23-E23-F23-G23)</f>
        <v/>
      </c>
    </row>
    <row r="24" customFormat="false" ht="15" hidden="false" customHeight="false" outlineLevel="0" collapsed="false">
      <c r="D24" s="0" t="str">
        <f aca="false">IF($A24="","",IF($K$1="All sites",COUNTIFS('User flow template'!$B$2:$B$1000,$A24),COUNTIFS('User flow template'!$B$2:$B$1000,$A24,'User flow template'!$D$2:$D$1000,$K$1)+COUNTIFS('User flow template'!$B$2:$B$1000,$A24,'User flow template'!$D$2:$D$1000,"All sites")))</f>
        <v/>
      </c>
      <c r="E24" s="49" t="str">
        <f aca="false">IF($A24="","",IF($K$1="All sites",COUNTIFS('User flow template'!$B$2:$B$1000,$A24,'User flow template'!$L$2:$L$1000,"Pass"),COUNTIFS('User flow template'!$B$2:$B$1000,$A24,'User flow template'!$L$2:$L$1000,"Pass",'User flow template'!$D$2:$D$1000,$K$1)+COUNTIFS('User flow template'!$B$2:$B$1000,$A24,'User flow template'!$L$2:$L$1000,"Pass",'User flow template'!$D$2:$D$1000,"All sites")))</f>
        <v/>
      </c>
      <c r="F24" s="0" t="str">
        <f aca="false">IF($A24="","",IF($K$1="All sites",COUNTIFS('User flow template'!$B$2:$B$1000,$A24,'User flow template'!$L$2:$L$1000,"Fail"),COUNTIFS('User flow template'!$B$2:$B$1000,$A24,'User flow template'!$L$2:$L$1000,"Fail",'User flow template'!$D$2:$D$1000,$K$1)+COUNTIFS('User flow template'!$B$2:$B$1000,$A24,'User flow template'!$L$2:$L$1000,"Fail",'User flow template'!$D$2:$D$1000,"All sites")))</f>
        <v/>
      </c>
      <c r="G24" s="0" t="str">
        <f aca="false">IF($A24="","",IF($K$1="All sites",COUNTIFS('User flow template'!$B$2:$B$1000,$A24,'User flow template'!$L$2:$L$1000,"Blocked"),COUNTIFS('User flow template'!$B$2:$B$1000,$A24,'User flow template'!$L$2:$L$1000,"Blocked",'User flow template'!$D$2:$D$1000,$K$1)+COUNTIFS('User flow template'!$B$2:$B$1000,$A24,'User flow template'!$L$2:$L$1000,"Blocked",'User flow template'!$D$2:$D$1000,"All sites")))</f>
        <v/>
      </c>
      <c r="H24" s="0" t="str">
        <f aca="false">IF($A24="","",D24-E24-F24-G24)</f>
        <v/>
      </c>
    </row>
    <row r="25" customFormat="false" ht="15" hidden="false" customHeight="false" outlineLevel="0" collapsed="false">
      <c r="D25" s="0" t="str">
        <f aca="false">IF($A25="","",IF($K$1="All sites",COUNTIFS('User flow template'!$B$2:$B$1000,$A25),COUNTIFS('User flow template'!$B$2:$B$1000,$A25,'User flow template'!$D$2:$D$1000,$K$1)+COUNTIFS('User flow template'!$B$2:$B$1000,$A25,'User flow template'!$D$2:$D$1000,"All sites")))</f>
        <v/>
      </c>
      <c r="E25" s="49" t="str">
        <f aca="false">IF($A25="","",IF($K$1="All sites",COUNTIFS('User flow template'!$B$2:$B$1000,$A25,'User flow template'!$L$2:$L$1000,"Pass"),COUNTIFS('User flow template'!$B$2:$B$1000,$A25,'User flow template'!$L$2:$L$1000,"Pass",'User flow template'!$D$2:$D$1000,$K$1)+COUNTIFS('User flow template'!$B$2:$B$1000,$A25,'User flow template'!$L$2:$L$1000,"Pass",'User flow template'!$D$2:$D$1000,"All sites")))</f>
        <v/>
      </c>
      <c r="F25" s="0" t="str">
        <f aca="false">IF($A25="","",IF($K$1="All sites",COUNTIFS('User flow template'!$B$2:$B$1000,$A25,'User flow template'!$L$2:$L$1000,"Fail"),COUNTIFS('User flow template'!$B$2:$B$1000,$A25,'User flow template'!$L$2:$L$1000,"Fail",'User flow template'!$D$2:$D$1000,$K$1)+COUNTIFS('User flow template'!$B$2:$B$1000,$A25,'User flow template'!$L$2:$L$1000,"Fail",'User flow template'!$D$2:$D$1000,"All sites")))</f>
        <v/>
      </c>
      <c r="G25" s="0" t="str">
        <f aca="false">IF($A25="","",IF($K$1="All sites",COUNTIFS('User flow template'!$B$2:$B$1000,$A25,'User flow template'!$L$2:$L$1000,"Blocked"),COUNTIFS('User flow template'!$B$2:$B$1000,$A25,'User flow template'!$L$2:$L$1000,"Blocked",'User flow template'!$D$2:$D$1000,$K$1)+COUNTIFS('User flow template'!$B$2:$B$1000,$A25,'User flow template'!$L$2:$L$1000,"Blocked",'User flow template'!$D$2:$D$1000,"All sites")))</f>
        <v/>
      </c>
      <c r="H25" s="0" t="str">
        <f aca="false">IF($A25="","",D25-E25-F25-G25)</f>
        <v/>
      </c>
    </row>
    <row r="26" customFormat="false" ht="15" hidden="false" customHeight="false" outlineLevel="0" collapsed="false">
      <c r="D26" s="0" t="str">
        <f aca="false">IF($A26="","",IF($K$1="All sites",COUNTIFS('User flow template'!$B$2:$B$1000,$A26),COUNTIFS('User flow template'!$B$2:$B$1000,$A26,'User flow template'!$D$2:$D$1000,$K$1)+COUNTIFS('User flow template'!$B$2:$B$1000,$A26,'User flow template'!$D$2:$D$1000,"All sites")))</f>
        <v/>
      </c>
      <c r="E26" s="49" t="str">
        <f aca="false">IF($A26="","",IF($K$1="All sites",COUNTIFS('User flow template'!$B$2:$B$1000,$A26,'User flow template'!$L$2:$L$1000,"Pass"),COUNTIFS('User flow template'!$B$2:$B$1000,$A26,'User flow template'!$L$2:$L$1000,"Pass",'User flow template'!$D$2:$D$1000,$K$1)+COUNTIFS('User flow template'!$B$2:$B$1000,$A26,'User flow template'!$L$2:$L$1000,"Pass",'User flow template'!$D$2:$D$1000,"All sites")))</f>
        <v/>
      </c>
      <c r="F26" s="0" t="str">
        <f aca="false">IF($A26="","",IF($K$1="All sites",COUNTIFS('User flow template'!$B$2:$B$1000,$A26,'User flow template'!$L$2:$L$1000,"Fail"),COUNTIFS('User flow template'!$B$2:$B$1000,$A26,'User flow template'!$L$2:$L$1000,"Fail",'User flow template'!$D$2:$D$1000,$K$1)+COUNTIFS('User flow template'!$B$2:$B$1000,$A26,'User flow template'!$L$2:$L$1000,"Fail",'User flow template'!$D$2:$D$1000,"All sites")))</f>
        <v/>
      </c>
      <c r="G26" s="0" t="str">
        <f aca="false">IF($A26="","",IF($K$1="All sites",COUNTIFS('User flow template'!$B$2:$B$1000,$A26,'User flow template'!$L$2:$L$1000,"Blocked"),COUNTIFS('User flow template'!$B$2:$B$1000,$A26,'User flow template'!$L$2:$L$1000,"Blocked",'User flow template'!$D$2:$D$1000,$K$1)+COUNTIFS('User flow template'!$B$2:$B$1000,$A26,'User flow template'!$L$2:$L$1000,"Blocked",'User flow template'!$D$2:$D$1000,"All sites")))</f>
        <v/>
      </c>
      <c r="H26" s="0" t="str">
        <f aca="false">IF($A26="","",D26-E26-F26-G26)</f>
        <v/>
      </c>
    </row>
    <row r="27" customFormat="false" ht="15" hidden="false" customHeight="false" outlineLevel="0" collapsed="false">
      <c r="D27" s="0" t="str">
        <f aca="false">IF($A27="","",IF($K$1="All sites",COUNTIFS('User flow template'!$B$2:$B$1000,$A27),COUNTIFS('User flow template'!$B$2:$B$1000,$A27,'User flow template'!$D$2:$D$1000,$K$1)+COUNTIFS('User flow template'!$B$2:$B$1000,$A27,'User flow template'!$D$2:$D$1000,"All sites")))</f>
        <v/>
      </c>
      <c r="E27" s="49" t="str">
        <f aca="false">IF($A27="","",IF($K$1="All sites",COUNTIFS('User flow template'!$B$2:$B$1000,$A27,'User flow template'!$L$2:$L$1000,"Pass"),COUNTIFS('User flow template'!$B$2:$B$1000,$A27,'User flow template'!$L$2:$L$1000,"Pass",'User flow template'!$D$2:$D$1000,$K$1)+COUNTIFS('User flow template'!$B$2:$B$1000,$A27,'User flow template'!$L$2:$L$1000,"Pass",'User flow template'!$D$2:$D$1000,"All sites")))</f>
        <v/>
      </c>
      <c r="F27" s="0" t="str">
        <f aca="false">IF($A27="","",IF($K$1="All sites",COUNTIFS('User flow template'!$B$2:$B$1000,$A27,'User flow template'!$L$2:$L$1000,"Fail"),COUNTIFS('User flow template'!$B$2:$B$1000,$A27,'User flow template'!$L$2:$L$1000,"Fail",'User flow template'!$D$2:$D$1000,$K$1)+COUNTIFS('User flow template'!$B$2:$B$1000,$A27,'User flow template'!$L$2:$L$1000,"Fail",'User flow template'!$D$2:$D$1000,"All sites")))</f>
        <v/>
      </c>
      <c r="G27" s="0" t="str">
        <f aca="false">IF($A27="","",IF($K$1="All sites",COUNTIFS('User flow template'!$B$2:$B$1000,$A27,'User flow template'!$L$2:$L$1000,"Blocked"),COUNTIFS('User flow template'!$B$2:$B$1000,$A27,'User flow template'!$L$2:$L$1000,"Blocked",'User flow template'!$D$2:$D$1000,$K$1)+COUNTIFS('User flow template'!$B$2:$B$1000,$A27,'User flow template'!$L$2:$L$1000,"Blocked",'User flow template'!$D$2:$D$1000,"All sites")))</f>
        <v/>
      </c>
      <c r="H27" s="0" t="str">
        <f aca="false">IF($A27="","",D27-E27-F27-G27)</f>
        <v/>
      </c>
    </row>
    <row r="28" customFormat="false" ht="15" hidden="false" customHeight="false" outlineLevel="0" collapsed="false">
      <c r="D28" s="0" t="str">
        <f aca="false">IF($A28="","",IF($K$1="All sites",COUNTIFS('User flow template'!$B$2:$B$1000,$A28),COUNTIFS('User flow template'!$B$2:$B$1000,$A28,'User flow template'!$D$2:$D$1000,$K$1)+COUNTIFS('User flow template'!$B$2:$B$1000,$A28,'User flow template'!$D$2:$D$1000,"All sites")))</f>
        <v/>
      </c>
      <c r="E28" s="49" t="str">
        <f aca="false">IF($A28="","",IF($K$1="All sites",COUNTIFS('User flow template'!$B$2:$B$1000,$A28,'User flow template'!$L$2:$L$1000,"Pass"),COUNTIFS('User flow template'!$B$2:$B$1000,$A28,'User flow template'!$L$2:$L$1000,"Pass",'User flow template'!$D$2:$D$1000,$K$1)+COUNTIFS('User flow template'!$B$2:$B$1000,$A28,'User flow template'!$L$2:$L$1000,"Pass",'User flow template'!$D$2:$D$1000,"All sites")))</f>
        <v/>
      </c>
      <c r="F28" s="0" t="str">
        <f aca="false">IF($A28="","",IF($K$1="All sites",COUNTIFS('User flow template'!$B$2:$B$1000,$A28,'User flow template'!$L$2:$L$1000,"Fail"),COUNTIFS('User flow template'!$B$2:$B$1000,$A28,'User flow template'!$L$2:$L$1000,"Fail",'User flow template'!$D$2:$D$1000,$K$1)+COUNTIFS('User flow template'!$B$2:$B$1000,$A28,'User flow template'!$L$2:$L$1000,"Fail",'User flow template'!$D$2:$D$1000,"All sites")))</f>
        <v/>
      </c>
      <c r="G28" s="0" t="str">
        <f aca="false">IF($A28="","",IF($K$1="All sites",COUNTIFS('User flow template'!$B$2:$B$1000,$A28,'User flow template'!$L$2:$L$1000,"Blocked"),COUNTIFS('User flow template'!$B$2:$B$1000,$A28,'User flow template'!$L$2:$L$1000,"Blocked",'User flow template'!$D$2:$D$1000,$K$1)+COUNTIFS('User flow template'!$B$2:$B$1000,$A28,'User flow template'!$L$2:$L$1000,"Blocked",'User flow template'!$D$2:$D$1000,"All sites")))</f>
        <v/>
      </c>
      <c r="H28" s="0" t="str">
        <f aca="false">IF($A28="","",D28-E28-F28-G28)</f>
        <v/>
      </c>
    </row>
    <row r="29" customFormat="false" ht="15" hidden="false" customHeight="false" outlineLevel="0" collapsed="false">
      <c r="D29" s="0" t="str">
        <f aca="false">IF($A29="","",IF($K$1="All sites",COUNTIFS('User flow template'!$B$2:$B$1000,$A29),COUNTIFS('User flow template'!$B$2:$B$1000,$A29,'User flow template'!$D$2:$D$1000,$K$1)+COUNTIFS('User flow template'!$B$2:$B$1000,$A29,'User flow template'!$D$2:$D$1000,"All sites")))</f>
        <v/>
      </c>
      <c r="E29" s="49" t="str">
        <f aca="false">IF($A29="","",IF($K$1="All sites",COUNTIFS('User flow template'!$B$2:$B$1000,$A29,'User flow template'!$L$2:$L$1000,"Pass"),COUNTIFS('User flow template'!$B$2:$B$1000,$A29,'User flow template'!$L$2:$L$1000,"Pass",'User flow template'!$D$2:$D$1000,$K$1)+COUNTIFS('User flow template'!$B$2:$B$1000,$A29,'User flow template'!$L$2:$L$1000,"Pass",'User flow template'!$D$2:$D$1000,"All sites")))</f>
        <v/>
      </c>
      <c r="F29" s="0" t="str">
        <f aca="false">IF($A29="","",IF($K$1="All sites",COUNTIFS('User flow template'!$B$2:$B$1000,$A29,'User flow template'!$L$2:$L$1000,"Fail"),COUNTIFS('User flow template'!$B$2:$B$1000,$A29,'User flow template'!$L$2:$L$1000,"Fail",'User flow template'!$D$2:$D$1000,$K$1)+COUNTIFS('User flow template'!$B$2:$B$1000,$A29,'User flow template'!$L$2:$L$1000,"Fail",'User flow template'!$D$2:$D$1000,"All sites")))</f>
        <v/>
      </c>
      <c r="G29" s="0" t="str">
        <f aca="false">IF($A29="","",IF($K$1="All sites",COUNTIFS('User flow template'!$B$2:$B$1000,$A29,'User flow template'!$L$2:$L$1000,"Blocked"),COUNTIFS('User flow template'!$B$2:$B$1000,$A29,'User flow template'!$L$2:$L$1000,"Blocked",'User flow template'!$D$2:$D$1000,$K$1)+COUNTIFS('User flow template'!$B$2:$B$1000,$A29,'User flow template'!$L$2:$L$1000,"Blocked",'User flow template'!$D$2:$D$1000,"All sites")))</f>
        <v/>
      </c>
      <c r="H29" s="0" t="str">
        <f aca="false">IF($A29="","",D29-E29-F29-G29)</f>
        <v/>
      </c>
    </row>
    <row r="30" customFormat="false" ht="15" hidden="false" customHeight="false" outlineLevel="0" collapsed="false">
      <c r="D30" s="0" t="str">
        <f aca="false">IF($A30="","",IF($K$1="All sites",COUNTIFS('User flow template'!$B$2:$B$1000,$A30),COUNTIFS('User flow template'!$B$2:$B$1000,$A30,'User flow template'!$D$2:$D$1000,$K$1)+COUNTIFS('User flow template'!$B$2:$B$1000,$A30,'User flow template'!$D$2:$D$1000,"All sites")))</f>
        <v/>
      </c>
      <c r="E30" s="49" t="str">
        <f aca="false">IF($A30="","",IF($K$1="All sites",COUNTIFS('User flow template'!$B$2:$B$1000,$A30,'User flow template'!$L$2:$L$1000,"Pass"),COUNTIFS('User flow template'!$B$2:$B$1000,$A30,'User flow template'!$L$2:$L$1000,"Pass",'User flow template'!$D$2:$D$1000,$K$1)+COUNTIFS('User flow template'!$B$2:$B$1000,$A30,'User flow template'!$L$2:$L$1000,"Pass",'User flow template'!$D$2:$D$1000,"All sites")))</f>
        <v/>
      </c>
      <c r="F30" s="0" t="str">
        <f aca="false">IF($A30="","",IF($K$1="All sites",COUNTIFS('User flow template'!$B$2:$B$1000,$A30,'User flow template'!$L$2:$L$1000,"Fail"),COUNTIFS('User flow template'!$B$2:$B$1000,$A30,'User flow template'!$L$2:$L$1000,"Fail",'User flow template'!$D$2:$D$1000,$K$1)+COUNTIFS('User flow template'!$B$2:$B$1000,$A30,'User flow template'!$L$2:$L$1000,"Fail",'User flow template'!$D$2:$D$1000,"All sites")))</f>
        <v/>
      </c>
      <c r="G30" s="0" t="str">
        <f aca="false">IF($A30="","",IF($K$1="All sites",COUNTIFS('User flow template'!$B$2:$B$1000,$A30,'User flow template'!$L$2:$L$1000,"Blocked"),COUNTIFS('User flow template'!$B$2:$B$1000,$A30,'User flow template'!$L$2:$L$1000,"Blocked",'User flow template'!$D$2:$D$1000,$K$1)+COUNTIFS('User flow template'!$B$2:$B$1000,$A30,'User flow template'!$L$2:$L$1000,"Blocked",'User flow template'!$D$2:$D$1000,"All sites")))</f>
        <v/>
      </c>
      <c r="H30" s="0" t="str">
        <f aca="false">IF($A30="","",D30-E30-F30-G30)</f>
        <v/>
      </c>
    </row>
    <row r="31" customFormat="false" ht="15" hidden="false" customHeight="false" outlineLevel="0" collapsed="false">
      <c r="D31" s="0" t="str">
        <f aca="false">IF($A31="","",IF($K$1="All sites",COUNTIFS('User flow template'!$B$2:$B$1000,$A31),COUNTIFS('User flow template'!$B$2:$B$1000,$A31,'User flow template'!$D$2:$D$1000,$K$1)+COUNTIFS('User flow template'!$B$2:$B$1000,$A31,'User flow template'!$D$2:$D$1000,"All sites")))</f>
        <v/>
      </c>
      <c r="E31" s="49" t="str">
        <f aca="false">IF($A31="","",IF($K$1="All sites",COUNTIFS('User flow template'!$B$2:$B$1000,$A31,'User flow template'!$L$2:$L$1000,"Pass"),COUNTIFS('User flow template'!$B$2:$B$1000,$A31,'User flow template'!$L$2:$L$1000,"Pass",'User flow template'!$D$2:$D$1000,$K$1)+COUNTIFS('User flow template'!$B$2:$B$1000,$A31,'User flow template'!$L$2:$L$1000,"Pass",'User flow template'!$D$2:$D$1000,"All sites")))</f>
        <v/>
      </c>
      <c r="F31" s="0" t="str">
        <f aca="false">IF($A31="","",IF($K$1="All sites",COUNTIFS('User flow template'!$B$2:$B$1000,$A31,'User flow template'!$L$2:$L$1000,"Fail"),COUNTIFS('User flow template'!$B$2:$B$1000,$A31,'User flow template'!$L$2:$L$1000,"Fail",'User flow template'!$D$2:$D$1000,$K$1)+COUNTIFS('User flow template'!$B$2:$B$1000,$A31,'User flow template'!$L$2:$L$1000,"Fail",'User flow template'!$D$2:$D$1000,"All sites")))</f>
        <v/>
      </c>
      <c r="G31" s="0" t="str">
        <f aca="false">IF($A31="","",IF($K$1="All sites",COUNTIFS('User flow template'!$B$2:$B$1000,$A31,'User flow template'!$L$2:$L$1000,"Blocked"),COUNTIFS('User flow template'!$B$2:$B$1000,$A31,'User flow template'!$L$2:$L$1000,"Blocked",'User flow template'!$D$2:$D$1000,$K$1)+COUNTIFS('User flow template'!$B$2:$B$1000,$A31,'User flow template'!$L$2:$L$1000,"Blocked",'User flow template'!$D$2:$D$1000,"All sites")))</f>
        <v/>
      </c>
      <c r="H31" s="0" t="str">
        <f aca="false">IF($A31="","",D31-E31-F31-G31)</f>
        <v/>
      </c>
    </row>
    <row r="32" customFormat="false" ht="15" hidden="false" customHeight="false" outlineLevel="0" collapsed="false">
      <c r="D32" s="0" t="str">
        <f aca="false">IF($A32="","",IF($K$1="All sites",COUNTIFS('User flow template'!$B$2:$B$1000,$A32),COUNTIFS('User flow template'!$B$2:$B$1000,$A32,'User flow template'!$D$2:$D$1000,$K$1)+COUNTIFS('User flow template'!$B$2:$B$1000,$A32,'User flow template'!$D$2:$D$1000,"All sites")))</f>
        <v/>
      </c>
      <c r="E32" s="49" t="str">
        <f aca="false">IF($A32="","",IF($K$1="All sites",COUNTIFS('User flow template'!$B$2:$B$1000,$A32,'User flow template'!$L$2:$L$1000,"Pass"),COUNTIFS('User flow template'!$B$2:$B$1000,$A32,'User flow template'!$L$2:$L$1000,"Pass",'User flow template'!$D$2:$D$1000,$K$1)+COUNTIFS('User flow template'!$B$2:$B$1000,$A32,'User flow template'!$L$2:$L$1000,"Pass",'User flow template'!$D$2:$D$1000,"All sites")))</f>
        <v/>
      </c>
      <c r="F32" s="0" t="str">
        <f aca="false">IF($A32="","",IF($K$1="All sites",COUNTIFS('User flow template'!$B$2:$B$1000,$A32,'User flow template'!$L$2:$L$1000,"Fail"),COUNTIFS('User flow template'!$B$2:$B$1000,$A32,'User flow template'!$L$2:$L$1000,"Fail",'User flow template'!$D$2:$D$1000,$K$1)+COUNTIFS('User flow template'!$B$2:$B$1000,$A32,'User flow template'!$L$2:$L$1000,"Fail",'User flow template'!$D$2:$D$1000,"All sites")))</f>
        <v/>
      </c>
      <c r="G32" s="0" t="str">
        <f aca="false">IF($A32="","",IF($K$1="All sites",COUNTIFS('User flow template'!$B$2:$B$1000,$A32,'User flow template'!$L$2:$L$1000,"Blocked"),COUNTIFS('User flow template'!$B$2:$B$1000,$A32,'User flow template'!$L$2:$L$1000,"Blocked",'User flow template'!$D$2:$D$1000,$K$1)+COUNTIFS('User flow template'!$B$2:$B$1000,$A32,'User flow template'!$L$2:$L$1000,"Blocked",'User flow template'!$D$2:$D$1000,"All sites")))</f>
        <v/>
      </c>
      <c r="H32" s="0" t="str">
        <f aca="false">IF($A32="","",D32-E32-F32-G32)</f>
        <v/>
      </c>
    </row>
    <row r="33" customFormat="false" ht="15" hidden="false" customHeight="false" outlineLevel="0" collapsed="false">
      <c r="D33" s="0" t="str">
        <f aca="false">IF($A33="","",IF($K$1="All sites",COUNTIFS('User flow template'!$B$2:$B$1000,$A33),COUNTIFS('User flow template'!$B$2:$B$1000,$A33,'User flow template'!$D$2:$D$1000,$K$1)+COUNTIFS('User flow template'!$B$2:$B$1000,$A33,'User flow template'!$D$2:$D$1000,"All sites")))</f>
        <v/>
      </c>
      <c r="E33" s="49" t="str">
        <f aca="false">IF($A33="","",IF($K$1="All sites",COUNTIFS('User flow template'!$B$2:$B$1000,$A33,'User flow template'!$L$2:$L$1000,"Pass"),COUNTIFS('User flow template'!$B$2:$B$1000,$A33,'User flow template'!$L$2:$L$1000,"Pass",'User flow template'!$D$2:$D$1000,$K$1)+COUNTIFS('User flow template'!$B$2:$B$1000,$A33,'User flow template'!$L$2:$L$1000,"Pass",'User flow template'!$D$2:$D$1000,"All sites")))</f>
        <v/>
      </c>
      <c r="F33" s="0" t="str">
        <f aca="false">IF($A33="","",IF($K$1="All sites",COUNTIFS('User flow template'!$B$2:$B$1000,$A33,'User flow template'!$L$2:$L$1000,"Fail"),COUNTIFS('User flow template'!$B$2:$B$1000,$A33,'User flow template'!$L$2:$L$1000,"Fail",'User flow template'!$D$2:$D$1000,$K$1)+COUNTIFS('User flow template'!$B$2:$B$1000,$A33,'User flow template'!$L$2:$L$1000,"Fail",'User flow template'!$D$2:$D$1000,"All sites")))</f>
        <v/>
      </c>
      <c r="G33" s="0" t="str">
        <f aca="false">IF($A33="","",IF($K$1="All sites",COUNTIFS('User flow template'!$B$2:$B$1000,$A33,'User flow template'!$L$2:$L$1000,"Blocked"),COUNTIFS('User flow template'!$B$2:$B$1000,$A33,'User flow template'!$L$2:$L$1000,"Blocked",'User flow template'!$D$2:$D$1000,$K$1)+COUNTIFS('User flow template'!$B$2:$B$1000,$A33,'User flow template'!$L$2:$L$1000,"Blocked",'User flow template'!$D$2:$D$1000,"All sites")))</f>
        <v/>
      </c>
      <c r="H33" s="0" t="str">
        <f aca="false">IF($A33="","",D33-E33-F33-G33)</f>
        <v/>
      </c>
    </row>
    <row r="34" customFormat="false" ht="15" hidden="false" customHeight="false" outlineLevel="0" collapsed="false">
      <c r="D34" s="0" t="str">
        <f aca="false">IF($A34="","",IF($K$1="All sites",COUNTIFS('User flow template'!$B$2:$B$1000,$A34),COUNTIFS('User flow template'!$B$2:$B$1000,$A34,'User flow template'!$D$2:$D$1000,$K$1)+COUNTIFS('User flow template'!$B$2:$B$1000,$A34,'User flow template'!$D$2:$D$1000,"All sites")))</f>
        <v/>
      </c>
      <c r="E34" s="49" t="str">
        <f aca="false">IF($A34="","",IF($K$1="All sites",COUNTIFS('User flow template'!$B$2:$B$1000,$A34,'User flow template'!$L$2:$L$1000,"Pass"),COUNTIFS('User flow template'!$B$2:$B$1000,$A34,'User flow template'!$L$2:$L$1000,"Pass",'User flow template'!$D$2:$D$1000,$K$1)+COUNTIFS('User flow template'!$B$2:$B$1000,$A34,'User flow template'!$L$2:$L$1000,"Pass",'User flow template'!$D$2:$D$1000,"All sites")))</f>
        <v/>
      </c>
      <c r="F34" s="0" t="str">
        <f aca="false">IF($A34="","",IF($K$1="All sites",COUNTIFS('User flow template'!$B$2:$B$1000,$A34,'User flow template'!$L$2:$L$1000,"Fail"),COUNTIFS('User flow template'!$B$2:$B$1000,$A34,'User flow template'!$L$2:$L$1000,"Fail",'User flow template'!$D$2:$D$1000,$K$1)+COUNTIFS('User flow template'!$B$2:$B$1000,$A34,'User flow template'!$L$2:$L$1000,"Fail",'User flow template'!$D$2:$D$1000,"All sites")))</f>
        <v/>
      </c>
      <c r="G34" s="0" t="str">
        <f aca="false">IF($A34="","",IF($K$1="All sites",COUNTIFS('User flow template'!$B$2:$B$1000,$A34,'User flow template'!$L$2:$L$1000,"Blocked"),COUNTIFS('User flow template'!$B$2:$B$1000,$A34,'User flow template'!$L$2:$L$1000,"Blocked",'User flow template'!$D$2:$D$1000,$K$1)+COUNTIFS('User flow template'!$B$2:$B$1000,$A34,'User flow template'!$L$2:$L$1000,"Blocked",'User flow template'!$D$2:$D$1000,"All sites")))</f>
        <v/>
      </c>
      <c r="H34" s="0" t="str">
        <f aca="false">IF($A34="","",D34-E34-F34-G34)</f>
        <v/>
      </c>
    </row>
    <row r="35" customFormat="false" ht="15" hidden="false" customHeight="false" outlineLevel="0" collapsed="false">
      <c r="D35" s="0" t="str">
        <f aca="false">IF($A35="","",IF($K$1="All sites",COUNTIFS('User flow template'!$B$2:$B$1000,$A35),COUNTIFS('User flow template'!$B$2:$B$1000,$A35,'User flow template'!$D$2:$D$1000,$K$1)+COUNTIFS('User flow template'!$B$2:$B$1000,$A35,'User flow template'!$D$2:$D$1000,"All sites")))</f>
        <v/>
      </c>
      <c r="E35" s="49" t="str">
        <f aca="false">IF($A35="","",IF($K$1="All sites",COUNTIFS('User flow template'!$B$2:$B$1000,$A35,'User flow template'!$L$2:$L$1000,"Pass"),COUNTIFS('User flow template'!$B$2:$B$1000,$A35,'User flow template'!$L$2:$L$1000,"Pass",'User flow template'!$D$2:$D$1000,$K$1)+COUNTIFS('User flow template'!$B$2:$B$1000,$A35,'User flow template'!$L$2:$L$1000,"Pass",'User flow template'!$D$2:$D$1000,"All sites")))</f>
        <v/>
      </c>
      <c r="F35" s="0" t="str">
        <f aca="false">IF($A35="","",IF($K$1="All sites",COUNTIFS('User flow template'!$B$2:$B$1000,$A35,'User flow template'!$L$2:$L$1000,"Fail"),COUNTIFS('User flow template'!$B$2:$B$1000,$A35,'User flow template'!$L$2:$L$1000,"Fail",'User flow template'!$D$2:$D$1000,$K$1)+COUNTIFS('User flow template'!$B$2:$B$1000,$A35,'User flow template'!$L$2:$L$1000,"Fail",'User flow template'!$D$2:$D$1000,"All sites")))</f>
        <v/>
      </c>
      <c r="G35" s="0" t="str">
        <f aca="false">IF($A35="","",IF($K$1="All sites",COUNTIFS('User flow template'!$B$2:$B$1000,$A35,'User flow template'!$L$2:$L$1000,"Blocked"),COUNTIFS('User flow template'!$B$2:$B$1000,$A35,'User flow template'!$L$2:$L$1000,"Blocked",'User flow template'!$D$2:$D$1000,$K$1)+COUNTIFS('User flow template'!$B$2:$B$1000,$A35,'User flow template'!$L$2:$L$1000,"Blocked",'User flow template'!$D$2:$D$1000,"All sites")))</f>
        <v/>
      </c>
      <c r="H35" s="0" t="str">
        <f aca="false">IF($A35="","",D35-E35-F35-G35)</f>
        <v/>
      </c>
    </row>
    <row r="36" customFormat="false" ht="15" hidden="false" customHeight="false" outlineLevel="0" collapsed="false">
      <c r="D36" s="0" t="str">
        <f aca="false">IF($A36="","",IF($K$1="All sites",COUNTIFS('User flow template'!$B$2:$B$1000,$A36),COUNTIFS('User flow template'!$B$2:$B$1000,$A36,'User flow template'!$D$2:$D$1000,$K$1)+COUNTIFS('User flow template'!$B$2:$B$1000,$A36,'User flow template'!$D$2:$D$1000,"All sites")))</f>
        <v/>
      </c>
      <c r="E36" s="49" t="str">
        <f aca="false">IF($A36="","",IF($K$1="All sites",COUNTIFS('User flow template'!$B$2:$B$1000,$A36,'User flow template'!$L$2:$L$1000,"Pass"),COUNTIFS('User flow template'!$B$2:$B$1000,$A36,'User flow template'!$L$2:$L$1000,"Pass",'User flow template'!$D$2:$D$1000,$K$1)+COUNTIFS('User flow template'!$B$2:$B$1000,$A36,'User flow template'!$L$2:$L$1000,"Pass",'User flow template'!$D$2:$D$1000,"All sites")))</f>
        <v/>
      </c>
      <c r="F36" s="0" t="str">
        <f aca="false">IF($A36="","",IF($K$1="All sites",COUNTIFS('User flow template'!$B$2:$B$1000,$A36,'User flow template'!$L$2:$L$1000,"Fail"),COUNTIFS('User flow template'!$B$2:$B$1000,$A36,'User flow template'!$L$2:$L$1000,"Fail",'User flow template'!$D$2:$D$1000,$K$1)+COUNTIFS('User flow template'!$B$2:$B$1000,$A36,'User flow template'!$L$2:$L$1000,"Fail",'User flow template'!$D$2:$D$1000,"All sites")))</f>
        <v/>
      </c>
      <c r="G36" s="0" t="str">
        <f aca="false">IF($A36="","",IF($K$1="All sites",COUNTIFS('User flow template'!$B$2:$B$1000,$A36,'User flow template'!$L$2:$L$1000,"Blocked"),COUNTIFS('User flow template'!$B$2:$B$1000,$A36,'User flow template'!$L$2:$L$1000,"Blocked",'User flow template'!$D$2:$D$1000,$K$1)+COUNTIFS('User flow template'!$B$2:$B$1000,$A36,'User flow template'!$L$2:$L$1000,"Blocked",'User flow template'!$D$2:$D$1000,"All sites")))</f>
        <v/>
      </c>
      <c r="H36" s="0" t="str">
        <f aca="false">IF($A36="","",D36-E36-F36-G36)</f>
        <v/>
      </c>
    </row>
    <row r="37" customFormat="false" ht="15" hidden="false" customHeight="false" outlineLevel="0" collapsed="false">
      <c r="D37" s="0" t="str">
        <f aca="false">IF($A37="","",IF($K$1="All sites",COUNTIFS('User flow template'!$B$2:$B$1000,$A37),COUNTIFS('User flow template'!$B$2:$B$1000,$A37,'User flow template'!$D$2:$D$1000,$K$1)+COUNTIFS('User flow template'!$B$2:$B$1000,$A37,'User flow template'!$D$2:$D$1000,"All sites")))</f>
        <v/>
      </c>
      <c r="E37" s="49" t="str">
        <f aca="false">IF($A37="","",IF($K$1="All sites",COUNTIFS('User flow template'!$B$2:$B$1000,$A37,'User flow template'!$L$2:$L$1000,"Pass"),COUNTIFS('User flow template'!$B$2:$B$1000,$A37,'User flow template'!$L$2:$L$1000,"Pass",'User flow template'!$D$2:$D$1000,$K$1)+COUNTIFS('User flow template'!$B$2:$B$1000,$A37,'User flow template'!$L$2:$L$1000,"Pass",'User flow template'!$D$2:$D$1000,"All sites")))</f>
        <v/>
      </c>
      <c r="F37" s="0" t="str">
        <f aca="false">IF($A37="","",IF($K$1="All sites",COUNTIFS('User flow template'!$B$2:$B$1000,$A37,'User flow template'!$L$2:$L$1000,"Fail"),COUNTIFS('User flow template'!$B$2:$B$1000,$A37,'User flow template'!$L$2:$L$1000,"Fail",'User flow template'!$D$2:$D$1000,$K$1)+COUNTIFS('User flow template'!$B$2:$B$1000,$A37,'User flow template'!$L$2:$L$1000,"Fail",'User flow template'!$D$2:$D$1000,"All sites")))</f>
        <v/>
      </c>
      <c r="G37" s="0" t="str">
        <f aca="false">IF($A37="","",IF($K$1="All sites",COUNTIFS('User flow template'!$B$2:$B$1000,$A37,'User flow template'!$L$2:$L$1000,"Blocked"),COUNTIFS('User flow template'!$B$2:$B$1000,$A37,'User flow template'!$L$2:$L$1000,"Blocked",'User flow template'!$D$2:$D$1000,$K$1)+COUNTIFS('User flow template'!$B$2:$B$1000,$A37,'User flow template'!$L$2:$L$1000,"Blocked",'User flow template'!$D$2:$D$1000,"All sites")))</f>
        <v/>
      </c>
      <c r="H37" s="0" t="str">
        <f aca="false">IF($A37="","",D37-E37-F37-G37)</f>
        <v/>
      </c>
    </row>
    <row r="38" customFormat="false" ht="15" hidden="false" customHeight="false" outlineLevel="0" collapsed="false">
      <c r="D38" s="0" t="str">
        <f aca="false">IF($A38="","",IF($K$1="All sites",COUNTIFS('User flow template'!$B$2:$B$1000,$A38),COUNTIFS('User flow template'!$B$2:$B$1000,$A38,'User flow template'!$D$2:$D$1000,$K$1)+COUNTIFS('User flow template'!$B$2:$B$1000,$A38,'User flow template'!$D$2:$D$1000,"All sites")))</f>
        <v/>
      </c>
      <c r="E38" s="49" t="str">
        <f aca="false">IF($A38="","",IF($K$1="All sites",COUNTIFS('User flow template'!$B$2:$B$1000,$A38,'User flow template'!$L$2:$L$1000,"Pass"),COUNTIFS('User flow template'!$B$2:$B$1000,$A38,'User flow template'!$L$2:$L$1000,"Pass",'User flow template'!$D$2:$D$1000,$K$1)+COUNTIFS('User flow template'!$B$2:$B$1000,$A38,'User flow template'!$L$2:$L$1000,"Pass",'User flow template'!$D$2:$D$1000,"All sites")))</f>
        <v/>
      </c>
      <c r="F38" s="0" t="str">
        <f aca="false">IF($A38="","",IF($K$1="All sites",COUNTIFS('User flow template'!$B$2:$B$1000,$A38,'User flow template'!$L$2:$L$1000,"Fail"),COUNTIFS('User flow template'!$B$2:$B$1000,$A38,'User flow template'!$L$2:$L$1000,"Fail",'User flow template'!$D$2:$D$1000,$K$1)+COUNTIFS('User flow template'!$B$2:$B$1000,$A38,'User flow template'!$L$2:$L$1000,"Fail",'User flow template'!$D$2:$D$1000,"All sites")))</f>
        <v/>
      </c>
      <c r="G38" s="0" t="str">
        <f aca="false">IF($A38="","",IF($K$1="All sites",COUNTIFS('User flow template'!$B$2:$B$1000,$A38,'User flow template'!$L$2:$L$1000,"Blocked"),COUNTIFS('User flow template'!$B$2:$B$1000,$A38,'User flow template'!$L$2:$L$1000,"Blocked",'User flow template'!$D$2:$D$1000,$K$1)+COUNTIFS('User flow template'!$B$2:$B$1000,$A38,'User flow template'!$L$2:$L$1000,"Blocked",'User flow template'!$D$2:$D$1000,"All sites")))</f>
        <v/>
      </c>
      <c r="H38" s="0" t="str">
        <f aca="false">IF($A38="","",D38-E38-F38-G38)</f>
        <v/>
      </c>
    </row>
    <row r="39" customFormat="false" ht="15" hidden="false" customHeight="false" outlineLevel="0" collapsed="false">
      <c r="D39" s="0" t="str">
        <f aca="false">IF($A39="","",IF($K$1="All sites",COUNTIFS('User flow template'!$B$2:$B$1000,$A39),COUNTIFS('User flow template'!$B$2:$B$1000,$A39,'User flow template'!$D$2:$D$1000,$K$1)+COUNTIFS('User flow template'!$B$2:$B$1000,$A39,'User flow template'!$D$2:$D$1000,"All sites")))</f>
        <v/>
      </c>
      <c r="E39" s="49" t="str">
        <f aca="false">IF($A39="","",IF($K$1="All sites",COUNTIFS('User flow template'!$B$2:$B$1000,$A39,'User flow template'!$L$2:$L$1000,"Pass"),COUNTIFS('User flow template'!$B$2:$B$1000,$A39,'User flow template'!$L$2:$L$1000,"Pass",'User flow template'!$D$2:$D$1000,$K$1)+COUNTIFS('User flow template'!$B$2:$B$1000,$A39,'User flow template'!$L$2:$L$1000,"Pass",'User flow template'!$D$2:$D$1000,"All sites")))</f>
        <v/>
      </c>
      <c r="F39" s="0" t="str">
        <f aca="false">IF($A39="","",IF($K$1="All sites",COUNTIFS('User flow template'!$B$2:$B$1000,$A39,'User flow template'!$L$2:$L$1000,"Fail"),COUNTIFS('User flow template'!$B$2:$B$1000,$A39,'User flow template'!$L$2:$L$1000,"Fail",'User flow template'!$D$2:$D$1000,$K$1)+COUNTIFS('User flow template'!$B$2:$B$1000,$A39,'User flow template'!$L$2:$L$1000,"Fail",'User flow template'!$D$2:$D$1000,"All sites")))</f>
        <v/>
      </c>
      <c r="G39" s="0" t="str">
        <f aca="false">IF($A39="","",IF($K$1="All sites",COUNTIFS('User flow template'!$B$2:$B$1000,$A39,'User flow template'!$L$2:$L$1000,"Blocked"),COUNTIFS('User flow template'!$B$2:$B$1000,$A39,'User flow template'!$L$2:$L$1000,"Blocked",'User flow template'!$D$2:$D$1000,$K$1)+COUNTIFS('User flow template'!$B$2:$B$1000,$A39,'User flow template'!$L$2:$L$1000,"Blocked",'User flow template'!$D$2:$D$1000,"All sites")))</f>
        <v/>
      </c>
      <c r="H39" s="0" t="str">
        <f aca="false">IF($A39="","",D39-E39-F39-G39)</f>
        <v/>
      </c>
    </row>
    <row r="40" customFormat="false" ht="15" hidden="false" customHeight="false" outlineLevel="0" collapsed="false">
      <c r="D40" s="0" t="str">
        <f aca="false">IF($A40="","",IF($K$1="All sites",COUNTIFS('User flow template'!$B$2:$B$1000,$A40),COUNTIFS('User flow template'!$B$2:$B$1000,$A40,'User flow template'!$D$2:$D$1000,$K$1)+COUNTIFS('User flow template'!$B$2:$B$1000,$A40,'User flow template'!$D$2:$D$1000,"All sites")))</f>
        <v/>
      </c>
      <c r="E40" s="49" t="str">
        <f aca="false">IF($A40="","",IF($K$1="All sites",COUNTIFS('User flow template'!$B$2:$B$1000,$A40,'User flow template'!$L$2:$L$1000,"Pass"),COUNTIFS('User flow template'!$B$2:$B$1000,$A40,'User flow template'!$L$2:$L$1000,"Pass",'User flow template'!$D$2:$D$1000,$K$1)+COUNTIFS('User flow template'!$B$2:$B$1000,$A40,'User flow template'!$L$2:$L$1000,"Pass",'User flow template'!$D$2:$D$1000,"All sites")))</f>
        <v/>
      </c>
      <c r="F40" s="0" t="str">
        <f aca="false">IF($A40="","",IF($K$1="All sites",COUNTIFS('User flow template'!$B$2:$B$1000,$A40,'User flow template'!$L$2:$L$1000,"Fail"),COUNTIFS('User flow template'!$B$2:$B$1000,$A40,'User flow template'!$L$2:$L$1000,"Fail",'User flow template'!$D$2:$D$1000,$K$1)+COUNTIFS('User flow template'!$B$2:$B$1000,$A40,'User flow template'!$L$2:$L$1000,"Fail",'User flow template'!$D$2:$D$1000,"All sites")))</f>
        <v/>
      </c>
      <c r="G40" s="0" t="str">
        <f aca="false">IF($A40="","",IF($K$1="All sites",COUNTIFS('User flow template'!$B$2:$B$1000,$A40,'User flow template'!$L$2:$L$1000,"Blocked"),COUNTIFS('User flow template'!$B$2:$B$1000,$A40,'User flow template'!$L$2:$L$1000,"Blocked",'User flow template'!$D$2:$D$1000,$K$1)+COUNTIFS('User flow template'!$B$2:$B$1000,$A40,'User flow template'!$L$2:$L$1000,"Blocked",'User flow template'!$D$2:$D$1000,"All sites")))</f>
        <v/>
      </c>
      <c r="H40" s="0" t="str">
        <f aca="false">IF($A40="","",D40-E40-F40-G40)</f>
        <v/>
      </c>
    </row>
    <row r="41" customFormat="false" ht="15" hidden="false" customHeight="false" outlineLevel="0" collapsed="false">
      <c r="D41" s="0" t="str">
        <f aca="false">IF($A41="","",IF($K$1="All sites",COUNTIFS('User flow template'!$B$2:$B$1000,$A41),COUNTIFS('User flow template'!$B$2:$B$1000,$A41,'User flow template'!$D$2:$D$1000,$K$1)+COUNTIFS('User flow template'!$B$2:$B$1000,$A41,'User flow template'!$D$2:$D$1000,"All sites")))</f>
        <v/>
      </c>
      <c r="E41" s="49" t="str">
        <f aca="false">IF($A41="","",IF($K$1="All sites",COUNTIFS('User flow template'!$B$2:$B$1000,$A41,'User flow template'!$L$2:$L$1000,"Pass"),COUNTIFS('User flow template'!$B$2:$B$1000,$A41,'User flow template'!$L$2:$L$1000,"Pass",'User flow template'!$D$2:$D$1000,$K$1)+COUNTIFS('User flow template'!$B$2:$B$1000,$A41,'User flow template'!$L$2:$L$1000,"Pass",'User flow template'!$D$2:$D$1000,"All sites")))</f>
        <v/>
      </c>
      <c r="F41" s="0" t="str">
        <f aca="false">IF($A41="","",IF($K$1="All sites",COUNTIFS('User flow template'!$B$2:$B$1000,$A41,'User flow template'!$L$2:$L$1000,"Fail"),COUNTIFS('User flow template'!$B$2:$B$1000,$A41,'User flow template'!$L$2:$L$1000,"Fail",'User flow template'!$D$2:$D$1000,$K$1)+COUNTIFS('User flow template'!$B$2:$B$1000,$A41,'User flow template'!$L$2:$L$1000,"Fail",'User flow template'!$D$2:$D$1000,"All sites")))</f>
        <v/>
      </c>
      <c r="G41" s="0" t="str">
        <f aca="false">IF($A41="","",IF($K$1="All sites",COUNTIFS('User flow template'!$B$2:$B$1000,$A41,'User flow template'!$L$2:$L$1000,"Blocked"),COUNTIFS('User flow template'!$B$2:$B$1000,$A41,'User flow template'!$L$2:$L$1000,"Blocked",'User flow template'!$D$2:$D$1000,$K$1)+COUNTIFS('User flow template'!$B$2:$B$1000,$A41,'User flow template'!$L$2:$L$1000,"Blocked",'User flow template'!$D$2:$D$1000,"All sites")))</f>
        <v/>
      </c>
      <c r="H41" s="0" t="str">
        <f aca="false">IF($A41="","",D41-E41-F41-G41)</f>
        <v/>
      </c>
    </row>
    <row r="42" customFormat="false" ht="15" hidden="false" customHeight="false" outlineLevel="0" collapsed="false">
      <c r="D42" s="0" t="str">
        <f aca="false">IF($A42="","",IF($K$1="All sites",COUNTIFS('User flow template'!$B$2:$B$1000,$A42),COUNTIFS('User flow template'!$B$2:$B$1000,$A42,'User flow template'!$D$2:$D$1000,$K$1)+COUNTIFS('User flow template'!$B$2:$B$1000,$A42,'User flow template'!$D$2:$D$1000,"All sites")))</f>
        <v/>
      </c>
      <c r="E42" s="49" t="str">
        <f aca="false">IF($A42="","",IF($K$1="All sites",COUNTIFS('User flow template'!$B$2:$B$1000,$A42,'User flow template'!$L$2:$L$1000,"Pass"),COUNTIFS('User flow template'!$B$2:$B$1000,$A42,'User flow template'!$L$2:$L$1000,"Pass",'User flow template'!$D$2:$D$1000,$K$1)+COUNTIFS('User flow template'!$B$2:$B$1000,$A42,'User flow template'!$L$2:$L$1000,"Pass",'User flow template'!$D$2:$D$1000,"All sites")))</f>
        <v/>
      </c>
      <c r="F42" s="0" t="str">
        <f aca="false">IF($A42="","",IF($K$1="All sites",COUNTIFS('User flow template'!$B$2:$B$1000,$A42,'User flow template'!$L$2:$L$1000,"Fail"),COUNTIFS('User flow template'!$B$2:$B$1000,$A42,'User flow template'!$L$2:$L$1000,"Fail",'User flow template'!$D$2:$D$1000,$K$1)+COUNTIFS('User flow template'!$B$2:$B$1000,$A42,'User flow template'!$L$2:$L$1000,"Fail",'User flow template'!$D$2:$D$1000,"All sites")))</f>
        <v/>
      </c>
      <c r="G42" s="0" t="str">
        <f aca="false">IF($A42="","",IF($K$1="All sites",COUNTIFS('User flow template'!$B$2:$B$1000,$A42,'User flow template'!$L$2:$L$1000,"Blocked"),COUNTIFS('User flow template'!$B$2:$B$1000,$A42,'User flow template'!$L$2:$L$1000,"Blocked",'User flow template'!$D$2:$D$1000,$K$1)+COUNTIFS('User flow template'!$B$2:$B$1000,$A42,'User flow template'!$L$2:$L$1000,"Blocked",'User flow template'!$D$2:$D$1000,"All sites")))</f>
        <v/>
      </c>
      <c r="H42" s="0" t="str">
        <f aca="false">IF($A42="","",D42-E42-F42-G42)</f>
        <v/>
      </c>
    </row>
    <row r="43" customFormat="false" ht="15" hidden="false" customHeight="false" outlineLevel="0" collapsed="false">
      <c r="D43" s="0" t="str">
        <f aca="false">IF($A43="","",IF($K$1="All sites",COUNTIFS('User flow template'!$B$2:$B$1000,$A43),COUNTIFS('User flow template'!$B$2:$B$1000,$A43,'User flow template'!$D$2:$D$1000,$K$1)+COUNTIFS('User flow template'!$B$2:$B$1000,$A43,'User flow template'!$D$2:$D$1000,"All sites")))</f>
        <v/>
      </c>
      <c r="E43" s="49" t="str">
        <f aca="false">IF($A43="","",IF($K$1="All sites",COUNTIFS('User flow template'!$B$2:$B$1000,$A43,'User flow template'!$L$2:$L$1000,"Pass"),COUNTIFS('User flow template'!$B$2:$B$1000,$A43,'User flow template'!$L$2:$L$1000,"Pass",'User flow template'!$D$2:$D$1000,$K$1)+COUNTIFS('User flow template'!$B$2:$B$1000,$A43,'User flow template'!$L$2:$L$1000,"Pass",'User flow template'!$D$2:$D$1000,"All sites")))</f>
        <v/>
      </c>
      <c r="F43" s="0" t="str">
        <f aca="false">IF($A43="","",IF($K$1="All sites",COUNTIFS('User flow template'!$B$2:$B$1000,$A43,'User flow template'!$L$2:$L$1000,"Fail"),COUNTIFS('User flow template'!$B$2:$B$1000,$A43,'User flow template'!$L$2:$L$1000,"Fail",'User flow template'!$D$2:$D$1000,$K$1)+COUNTIFS('User flow template'!$B$2:$B$1000,$A43,'User flow template'!$L$2:$L$1000,"Fail",'User flow template'!$D$2:$D$1000,"All sites")))</f>
        <v/>
      </c>
      <c r="G43" s="0" t="str">
        <f aca="false">IF($A43="","",IF($K$1="All sites",COUNTIFS('User flow template'!$B$2:$B$1000,$A43,'User flow template'!$L$2:$L$1000,"Blocked"),COUNTIFS('User flow template'!$B$2:$B$1000,$A43,'User flow template'!$L$2:$L$1000,"Blocked",'User flow template'!$D$2:$D$1000,$K$1)+COUNTIFS('User flow template'!$B$2:$B$1000,$A43,'User flow template'!$L$2:$L$1000,"Blocked",'User flow template'!$D$2:$D$1000,"All sites")))</f>
        <v/>
      </c>
      <c r="H43" s="0" t="str">
        <f aca="false">IF($A43="","",D43-E43-F43-G43)</f>
        <v/>
      </c>
    </row>
    <row r="44" customFormat="false" ht="15" hidden="false" customHeight="false" outlineLevel="0" collapsed="false">
      <c r="D44" s="0" t="str">
        <f aca="false">IF($A44="","",IF($K$1="All sites",COUNTIFS('User flow template'!$B$2:$B$1000,$A44),COUNTIFS('User flow template'!$B$2:$B$1000,$A44,'User flow template'!$D$2:$D$1000,$K$1)+COUNTIFS('User flow template'!$B$2:$B$1000,$A44,'User flow template'!$D$2:$D$1000,"All sites")))</f>
        <v/>
      </c>
      <c r="E44" s="49" t="str">
        <f aca="false">IF($A44="","",IF($K$1="All sites",COUNTIFS('User flow template'!$B$2:$B$1000,$A44,'User flow template'!$L$2:$L$1000,"Pass"),COUNTIFS('User flow template'!$B$2:$B$1000,$A44,'User flow template'!$L$2:$L$1000,"Pass",'User flow template'!$D$2:$D$1000,$K$1)+COUNTIFS('User flow template'!$B$2:$B$1000,$A44,'User flow template'!$L$2:$L$1000,"Pass",'User flow template'!$D$2:$D$1000,"All sites")))</f>
        <v/>
      </c>
      <c r="F44" s="0" t="str">
        <f aca="false">IF($A44="","",IF($K$1="All sites",COUNTIFS('User flow template'!$B$2:$B$1000,$A44,'User flow template'!$L$2:$L$1000,"Fail"),COUNTIFS('User flow template'!$B$2:$B$1000,$A44,'User flow template'!$L$2:$L$1000,"Fail",'User flow template'!$D$2:$D$1000,$K$1)+COUNTIFS('User flow template'!$B$2:$B$1000,$A44,'User flow template'!$L$2:$L$1000,"Fail",'User flow template'!$D$2:$D$1000,"All sites")))</f>
        <v/>
      </c>
      <c r="G44" s="0" t="str">
        <f aca="false">IF($A44="","",IF($K$1="All sites",COUNTIFS('User flow template'!$B$2:$B$1000,$A44,'User flow template'!$L$2:$L$1000,"Blocked"),COUNTIFS('User flow template'!$B$2:$B$1000,$A44,'User flow template'!$L$2:$L$1000,"Blocked",'User flow template'!$D$2:$D$1000,$K$1)+COUNTIFS('User flow template'!$B$2:$B$1000,$A44,'User flow template'!$L$2:$L$1000,"Blocked",'User flow template'!$D$2:$D$1000,"All sites")))</f>
        <v/>
      </c>
      <c r="H44" s="0" t="str">
        <f aca="false">IF($A44="","",D44-E44-F44-G44)</f>
        <v/>
      </c>
    </row>
    <row r="45" customFormat="false" ht="15" hidden="false" customHeight="false" outlineLevel="0" collapsed="false">
      <c r="D45" s="0" t="str">
        <f aca="false">IF($A45="","",IF($K$1="All sites",COUNTIFS('User flow template'!$B$2:$B$1000,$A45),COUNTIFS('User flow template'!$B$2:$B$1000,$A45,'User flow template'!$D$2:$D$1000,$K$1)+COUNTIFS('User flow template'!$B$2:$B$1000,$A45,'User flow template'!$D$2:$D$1000,"All sites")))</f>
        <v/>
      </c>
      <c r="E45" s="49" t="str">
        <f aca="false">IF($A45="","",IF($K$1="All sites",COUNTIFS('User flow template'!$B$2:$B$1000,$A45,'User flow template'!$L$2:$L$1000,"Pass"),COUNTIFS('User flow template'!$B$2:$B$1000,$A45,'User flow template'!$L$2:$L$1000,"Pass",'User flow template'!$D$2:$D$1000,$K$1)+COUNTIFS('User flow template'!$B$2:$B$1000,$A45,'User flow template'!$L$2:$L$1000,"Pass",'User flow template'!$D$2:$D$1000,"All sites")))</f>
        <v/>
      </c>
      <c r="F45" s="0" t="str">
        <f aca="false">IF($A45="","",IF($K$1="All sites",COUNTIFS('User flow template'!$B$2:$B$1000,$A45,'User flow template'!$L$2:$L$1000,"Fail"),COUNTIFS('User flow template'!$B$2:$B$1000,$A45,'User flow template'!$L$2:$L$1000,"Fail",'User flow template'!$D$2:$D$1000,$K$1)+COUNTIFS('User flow template'!$B$2:$B$1000,$A45,'User flow template'!$L$2:$L$1000,"Fail",'User flow template'!$D$2:$D$1000,"All sites")))</f>
        <v/>
      </c>
      <c r="G45" s="0" t="str">
        <f aca="false">IF($A45="","",IF($K$1="All sites",COUNTIFS('User flow template'!$B$2:$B$1000,$A45,'User flow template'!$L$2:$L$1000,"Blocked"),COUNTIFS('User flow template'!$B$2:$B$1000,$A45,'User flow template'!$L$2:$L$1000,"Blocked",'User flow template'!$D$2:$D$1000,$K$1)+COUNTIFS('User flow template'!$B$2:$B$1000,$A45,'User flow template'!$L$2:$L$1000,"Blocked",'User flow template'!$D$2:$D$1000,"All sites")))</f>
        <v/>
      </c>
      <c r="H45" s="0" t="str">
        <f aca="false">IF($A45="","",D45-E45-F45-G45)</f>
        <v/>
      </c>
    </row>
    <row r="46" customFormat="false" ht="15" hidden="false" customHeight="false" outlineLevel="0" collapsed="false">
      <c r="D46" s="0" t="str">
        <f aca="false">IF($A46="","",IF($K$1="All sites",COUNTIFS('User flow template'!$B$2:$B$1000,$A46),COUNTIFS('User flow template'!$B$2:$B$1000,$A46,'User flow template'!$D$2:$D$1000,$K$1)+COUNTIFS('User flow template'!$B$2:$B$1000,$A46,'User flow template'!$D$2:$D$1000,"All sites")))</f>
        <v/>
      </c>
      <c r="E46" s="49" t="str">
        <f aca="false">IF($A46="","",IF($K$1="All sites",COUNTIFS('User flow template'!$B$2:$B$1000,$A46,'User flow template'!$L$2:$L$1000,"Pass"),COUNTIFS('User flow template'!$B$2:$B$1000,$A46,'User flow template'!$L$2:$L$1000,"Pass",'User flow template'!$D$2:$D$1000,$K$1)+COUNTIFS('User flow template'!$B$2:$B$1000,$A46,'User flow template'!$L$2:$L$1000,"Pass",'User flow template'!$D$2:$D$1000,"All sites")))</f>
        <v/>
      </c>
      <c r="F46" s="0" t="str">
        <f aca="false">IF($A46="","",IF($K$1="All sites",COUNTIFS('User flow template'!$B$2:$B$1000,$A46,'User flow template'!$L$2:$L$1000,"Fail"),COUNTIFS('User flow template'!$B$2:$B$1000,$A46,'User flow template'!$L$2:$L$1000,"Fail",'User flow template'!$D$2:$D$1000,$K$1)+COUNTIFS('User flow template'!$B$2:$B$1000,$A46,'User flow template'!$L$2:$L$1000,"Fail",'User flow template'!$D$2:$D$1000,"All sites")))</f>
        <v/>
      </c>
      <c r="G46" s="0" t="str">
        <f aca="false">IF($A46="","",IF($K$1="All sites",COUNTIFS('User flow template'!$B$2:$B$1000,$A46,'User flow template'!$L$2:$L$1000,"Blocked"),COUNTIFS('User flow template'!$B$2:$B$1000,$A46,'User flow template'!$L$2:$L$1000,"Blocked",'User flow template'!$D$2:$D$1000,$K$1)+COUNTIFS('User flow template'!$B$2:$B$1000,$A46,'User flow template'!$L$2:$L$1000,"Blocked",'User flow template'!$D$2:$D$1000,"All sites")))</f>
        <v/>
      </c>
      <c r="H46" s="0" t="str">
        <f aca="false">IF($A46="","",D46-E46-F46-G46)</f>
        <v/>
      </c>
    </row>
    <row r="47" customFormat="false" ht="15" hidden="false" customHeight="false" outlineLevel="0" collapsed="false">
      <c r="D47" s="0" t="str">
        <f aca="false">IF($A47="","",IF($K$1="All sites",COUNTIFS('User flow template'!$B$2:$B$1000,$A47),COUNTIFS('User flow template'!$B$2:$B$1000,$A47,'User flow template'!$D$2:$D$1000,$K$1)+COUNTIFS('User flow template'!$B$2:$B$1000,$A47,'User flow template'!$D$2:$D$1000,"All sites")))</f>
        <v/>
      </c>
      <c r="E47" s="49" t="str">
        <f aca="false">IF($A47="","",IF($K$1="All sites",COUNTIFS('User flow template'!$B$2:$B$1000,$A47,'User flow template'!$L$2:$L$1000,"Pass"),COUNTIFS('User flow template'!$B$2:$B$1000,$A47,'User flow template'!$L$2:$L$1000,"Pass",'User flow template'!$D$2:$D$1000,$K$1)+COUNTIFS('User flow template'!$B$2:$B$1000,$A47,'User flow template'!$L$2:$L$1000,"Pass",'User flow template'!$D$2:$D$1000,"All sites")))</f>
        <v/>
      </c>
      <c r="F47" s="0" t="str">
        <f aca="false">IF($A47="","",IF($K$1="All sites",COUNTIFS('User flow template'!$B$2:$B$1000,$A47,'User flow template'!$L$2:$L$1000,"Fail"),COUNTIFS('User flow template'!$B$2:$B$1000,$A47,'User flow template'!$L$2:$L$1000,"Fail",'User flow template'!$D$2:$D$1000,$K$1)+COUNTIFS('User flow template'!$B$2:$B$1000,$A47,'User flow template'!$L$2:$L$1000,"Fail",'User flow template'!$D$2:$D$1000,"All sites")))</f>
        <v/>
      </c>
      <c r="G47" s="0" t="str">
        <f aca="false">IF($A47="","",IF($K$1="All sites",COUNTIFS('User flow template'!$B$2:$B$1000,$A47,'User flow template'!$L$2:$L$1000,"Blocked"),COUNTIFS('User flow template'!$B$2:$B$1000,$A47,'User flow template'!$L$2:$L$1000,"Blocked",'User flow template'!$D$2:$D$1000,$K$1)+COUNTIFS('User flow template'!$B$2:$B$1000,$A47,'User flow template'!$L$2:$L$1000,"Blocked",'User flow template'!$D$2:$D$1000,"All sites")))</f>
        <v/>
      </c>
      <c r="H47" s="0" t="str">
        <f aca="false">IF($A47="","",D47-E47-F47-G47)</f>
        <v/>
      </c>
    </row>
    <row r="48" customFormat="false" ht="15" hidden="false" customHeight="false" outlineLevel="0" collapsed="false">
      <c r="D48" s="0" t="str">
        <f aca="false">IF($A48="","",IF($K$1="All sites",COUNTIFS('User flow template'!$B$2:$B$1000,$A48),COUNTIFS('User flow template'!$B$2:$B$1000,$A48,'User flow template'!$D$2:$D$1000,$K$1)+COUNTIFS('User flow template'!$B$2:$B$1000,$A48,'User flow template'!$D$2:$D$1000,"All sites")))</f>
        <v/>
      </c>
      <c r="E48" s="49" t="str">
        <f aca="false">IF($A48="","",IF($K$1="All sites",COUNTIFS('User flow template'!$B$2:$B$1000,$A48,'User flow template'!$L$2:$L$1000,"Pass"),COUNTIFS('User flow template'!$B$2:$B$1000,$A48,'User flow template'!$L$2:$L$1000,"Pass",'User flow template'!$D$2:$D$1000,$K$1)+COUNTIFS('User flow template'!$B$2:$B$1000,$A48,'User flow template'!$L$2:$L$1000,"Pass",'User flow template'!$D$2:$D$1000,"All sites")))</f>
        <v/>
      </c>
      <c r="F48" s="0" t="str">
        <f aca="false">IF($A48="","",IF($K$1="All sites",COUNTIFS('User flow template'!$B$2:$B$1000,$A48,'User flow template'!$L$2:$L$1000,"Fail"),COUNTIFS('User flow template'!$B$2:$B$1000,$A48,'User flow template'!$L$2:$L$1000,"Fail",'User flow template'!$D$2:$D$1000,$K$1)+COUNTIFS('User flow template'!$B$2:$B$1000,$A48,'User flow template'!$L$2:$L$1000,"Fail",'User flow template'!$D$2:$D$1000,"All sites")))</f>
        <v/>
      </c>
      <c r="G48" s="0" t="str">
        <f aca="false">IF($A48="","",IF($K$1="All sites",COUNTIFS('User flow template'!$B$2:$B$1000,$A48,'User flow template'!$L$2:$L$1000,"Blocked"),COUNTIFS('User flow template'!$B$2:$B$1000,$A48,'User flow template'!$L$2:$L$1000,"Blocked",'User flow template'!$D$2:$D$1000,$K$1)+COUNTIFS('User flow template'!$B$2:$B$1000,$A48,'User flow template'!$L$2:$L$1000,"Blocked",'User flow template'!$D$2:$D$1000,"All sites")))</f>
        <v/>
      </c>
      <c r="H48" s="0" t="str">
        <f aca="false">IF($A48="","",D48-E48-F48-G48)</f>
        <v/>
      </c>
    </row>
    <row r="49" customFormat="false" ht="15" hidden="false" customHeight="false" outlineLevel="0" collapsed="false">
      <c r="D49" s="0" t="str">
        <f aca="false">IF($A49="","",IF($K$1="All sites",COUNTIFS('User flow template'!$B$2:$B$1000,$A49),COUNTIFS('User flow template'!$B$2:$B$1000,$A49,'User flow template'!$D$2:$D$1000,$K$1)+COUNTIFS('User flow template'!$B$2:$B$1000,$A49,'User flow template'!$D$2:$D$1000,"All sites")))</f>
        <v/>
      </c>
      <c r="E49" s="49" t="str">
        <f aca="false">IF($A49="","",IF($K$1="All sites",COUNTIFS('User flow template'!$B$2:$B$1000,$A49,'User flow template'!$L$2:$L$1000,"Pass"),COUNTIFS('User flow template'!$B$2:$B$1000,$A49,'User flow template'!$L$2:$L$1000,"Pass",'User flow template'!$D$2:$D$1000,$K$1)+COUNTIFS('User flow template'!$B$2:$B$1000,$A49,'User flow template'!$L$2:$L$1000,"Pass",'User flow template'!$D$2:$D$1000,"All sites")))</f>
        <v/>
      </c>
      <c r="F49" s="0" t="str">
        <f aca="false">IF($A49="","",IF($K$1="All sites",COUNTIFS('User flow template'!$B$2:$B$1000,$A49,'User flow template'!$L$2:$L$1000,"Fail"),COUNTIFS('User flow template'!$B$2:$B$1000,$A49,'User flow template'!$L$2:$L$1000,"Fail",'User flow template'!$D$2:$D$1000,$K$1)+COUNTIFS('User flow template'!$B$2:$B$1000,$A49,'User flow template'!$L$2:$L$1000,"Fail",'User flow template'!$D$2:$D$1000,"All sites")))</f>
        <v/>
      </c>
      <c r="G49" s="0" t="str">
        <f aca="false">IF($A49="","",IF($K$1="All sites",COUNTIFS('User flow template'!$B$2:$B$1000,$A49,'User flow template'!$L$2:$L$1000,"Blocked"),COUNTIFS('User flow template'!$B$2:$B$1000,$A49,'User flow template'!$L$2:$L$1000,"Blocked",'User flow template'!$D$2:$D$1000,$K$1)+COUNTIFS('User flow template'!$B$2:$B$1000,$A49,'User flow template'!$L$2:$L$1000,"Blocked",'User flow template'!$D$2:$D$1000,"All sites")))</f>
        <v/>
      </c>
      <c r="H49" s="0" t="str">
        <f aca="false">IF($A49="","",D49-E49-F49-G49)</f>
        <v/>
      </c>
    </row>
    <row r="50" customFormat="false" ht="15" hidden="false" customHeight="false" outlineLevel="0" collapsed="false">
      <c r="D50" s="0" t="str">
        <f aca="false">IF($A50="","",IF($K$1="All sites",COUNTIFS('User flow template'!$B$2:$B$1000,$A50),COUNTIFS('User flow template'!$B$2:$B$1000,$A50,'User flow template'!$D$2:$D$1000,$K$1)+COUNTIFS('User flow template'!$B$2:$B$1000,$A50,'User flow template'!$D$2:$D$1000,"All sites")))</f>
        <v/>
      </c>
      <c r="E50" s="49" t="str">
        <f aca="false">IF($A50="","",IF($K$1="All sites",COUNTIFS('User flow template'!$B$2:$B$1000,$A50,'User flow template'!$L$2:$L$1000,"Pass"),COUNTIFS('User flow template'!$B$2:$B$1000,$A50,'User flow template'!$L$2:$L$1000,"Pass",'User flow template'!$D$2:$D$1000,$K$1)+COUNTIFS('User flow template'!$B$2:$B$1000,$A50,'User flow template'!$L$2:$L$1000,"Pass",'User flow template'!$D$2:$D$1000,"All sites")))</f>
        <v/>
      </c>
      <c r="F50" s="0" t="str">
        <f aca="false">IF($A50="","",IF($K$1="All sites",COUNTIFS('User flow template'!$B$2:$B$1000,$A50,'User flow template'!$L$2:$L$1000,"Fail"),COUNTIFS('User flow template'!$B$2:$B$1000,$A50,'User flow template'!$L$2:$L$1000,"Fail",'User flow template'!$D$2:$D$1000,$K$1)+COUNTIFS('User flow template'!$B$2:$B$1000,$A50,'User flow template'!$L$2:$L$1000,"Fail",'User flow template'!$D$2:$D$1000,"All sites")))</f>
        <v/>
      </c>
      <c r="G50" s="0" t="str">
        <f aca="false">IF($A50="","",IF($K$1="All sites",COUNTIFS('User flow template'!$B$2:$B$1000,$A50,'User flow template'!$L$2:$L$1000,"Blocked"),COUNTIFS('User flow template'!$B$2:$B$1000,$A50,'User flow template'!$L$2:$L$1000,"Blocked",'User flow template'!$D$2:$D$1000,$K$1)+COUNTIFS('User flow template'!$B$2:$B$1000,$A50,'User flow template'!$L$2:$L$1000,"Blocked",'User flow template'!$D$2:$D$1000,"All sites")))</f>
        <v/>
      </c>
      <c r="H50" s="0" t="str">
        <f aca="false">IF($A50="","",D50-E50-F50-G50)</f>
        <v/>
      </c>
    </row>
    <row r="51" customFormat="false" ht="15" hidden="false" customHeight="false" outlineLevel="0" collapsed="false">
      <c r="D51" s="0" t="str">
        <f aca="false">IF($A51="","",IF($K$1="All sites",COUNTIFS('User flow template'!$B$2:$B$1000,$A51),COUNTIFS('User flow template'!$B$2:$B$1000,$A51,'User flow template'!$D$2:$D$1000,$K$1)+COUNTIFS('User flow template'!$B$2:$B$1000,$A51,'User flow template'!$D$2:$D$1000,"All sites")))</f>
        <v/>
      </c>
      <c r="E51" s="49" t="str">
        <f aca="false">IF($A51="","",IF($K$1="All sites",COUNTIFS('User flow template'!$B$2:$B$1000,$A51,'User flow template'!$L$2:$L$1000,"Pass"),COUNTIFS('User flow template'!$B$2:$B$1000,$A51,'User flow template'!$L$2:$L$1000,"Pass",'User flow template'!$D$2:$D$1000,$K$1)+COUNTIFS('User flow template'!$B$2:$B$1000,$A51,'User flow template'!$L$2:$L$1000,"Pass",'User flow template'!$D$2:$D$1000,"All sites")))</f>
        <v/>
      </c>
      <c r="F51" s="0" t="str">
        <f aca="false">IF($A51="","",IF($K$1="All sites",COUNTIFS('User flow template'!$B$2:$B$1000,$A51,'User flow template'!$L$2:$L$1000,"Fail"),COUNTIFS('User flow template'!$B$2:$B$1000,$A51,'User flow template'!$L$2:$L$1000,"Fail",'User flow template'!$D$2:$D$1000,$K$1)+COUNTIFS('User flow template'!$B$2:$B$1000,$A51,'User flow template'!$L$2:$L$1000,"Fail",'User flow template'!$D$2:$D$1000,"All sites")))</f>
        <v/>
      </c>
      <c r="G51" s="0" t="str">
        <f aca="false">IF($A51="","",IF($K$1="All sites",COUNTIFS('User flow template'!$B$2:$B$1000,$A51,'User flow template'!$L$2:$L$1000,"Blocked"),COUNTIFS('User flow template'!$B$2:$B$1000,$A51,'User flow template'!$L$2:$L$1000,"Blocked",'User flow template'!$D$2:$D$1000,$K$1)+COUNTIFS('User flow template'!$B$2:$B$1000,$A51,'User flow template'!$L$2:$L$1000,"Blocked",'User flow template'!$D$2:$D$1000,"All sites")))</f>
        <v/>
      </c>
      <c r="H51" s="0" t="str">
        <f aca="false">IF($A51="","",D51-E51-F51-G51)</f>
        <v/>
      </c>
    </row>
    <row r="52" customFormat="false" ht="15" hidden="false" customHeight="false" outlineLevel="0" collapsed="false">
      <c r="D52" s="0" t="str">
        <f aca="false">IF($A52="","",IF($K$1="All sites",COUNTIFS('User flow template'!$B$2:$B$1000,$A52),COUNTIFS('User flow template'!$B$2:$B$1000,$A52,'User flow template'!$D$2:$D$1000,$K$1)+COUNTIFS('User flow template'!$B$2:$B$1000,$A52,'User flow template'!$D$2:$D$1000,"All sites")))</f>
        <v/>
      </c>
      <c r="E52" s="49" t="str">
        <f aca="false">IF($A52="","",IF($K$1="All sites",COUNTIFS('User flow template'!$B$2:$B$1000,$A52,'User flow template'!$L$2:$L$1000,"Pass"),COUNTIFS('User flow template'!$B$2:$B$1000,$A52,'User flow template'!$L$2:$L$1000,"Pass",'User flow template'!$D$2:$D$1000,$K$1)+COUNTIFS('User flow template'!$B$2:$B$1000,$A52,'User flow template'!$L$2:$L$1000,"Pass",'User flow template'!$D$2:$D$1000,"All sites")))</f>
        <v/>
      </c>
      <c r="F52" s="0" t="str">
        <f aca="false">IF($A52="","",IF($K$1="All sites",COUNTIFS('User flow template'!$B$2:$B$1000,$A52,'User flow template'!$L$2:$L$1000,"Fail"),COUNTIFS('User flow template'!$B$2:$B$1000,$A52,'User flow template'!$L$2:$L$1000,"Fail",'User flow template'!$D$2:$D$1000,$K$1)+COUNTIFS('User flow template'!$B$2:$B$1000,$A52,'User flow template'!$L$2:$L$1000,"Fail",'User flow template'!$D$2:$D$1000,"All sites")))</f>
        <v/>
      </c>
      <c r="G52" s="0" t="str">
        <f aca="false">IF($A52="","",IF($K$1="All sites",COUNTIFS('User flow template'!$B$2:$B$1000,$A52,'User flow template'!$L$2:$L$1000,"Blocked"),COUNTIFS('User flow template'!$B$2:$B$1000,$A52,'User flow template'!$L$2:$L$1000,"Blocked",'User flow template'!$D$2:$D$1000,$K$1)+COUNTIFS('User flow template'!$B$2:$B$1000,$A52,'User flow template'!$L$2:$L$1000,"Blocked",'User flow template'!$D$2:$D$1000,"All sites")))</f>
        <v/>
      </c>
      <c r="H52" s="0" t="str">
        <f aca="false">IF($A52="","",D52-E52-F52-G52)</f>
        <v/>
      </c>
    </row>
    <row r="53" customFormat="false" ht="15" hidden="false" customHeight="false" outlineLevel="0" collapsed="false">
      <c r="D53" s="0" t="str">
        <f aca="false">IF($A53="","",IF($K$1="All sites",COUNTIFS('User flow template'!$B$2:$B$1000,$A53),COUNTIFS('User flow template'!$B$2:$B$1000,$A53,'User flow template'!$D$2:$D$1000,$K$1)+COUNTIFS('User flow template'!$B$2:$B$1000,$A53,'User flow template'!$D$2:$D$1000,"All sites")))</f>
        <v/>
      </c>
      <c r="E53" s="49" t="str">
        <f aca="false">IF($A53="","",IF($K$1="All sites",COUNTIFS('User flow template'!$B$2:$B$1000,$A53,'User flow template'!$L$2:$L$1000,"Pass"),COUNTIFS('User flow template'!$B$2:$B$1000,$A53,'User flow template'!$L$2:$L$1000,"Pass",'User flow template'!$D$2:$D$1000,$K$1)+COUNTIFS('User flow template'!$B$2:$B$1000,$A53,'User flow template'!$L$2:$L$1000,"Pass",'User flow template'!$D$2:$D$1000,"All sites")))</f>
        <v/>
      </c>
      <c r="F53" s="0" t="str">
        <f aca="false">IF($A53="","",IF($K$1="All sites",COUNTIFS('User flow template'!$B$2:$B$1000,$A53,'User flow template'!$L$2:$L$1000,"Fail"),COUNTIFS('User flow template'!$B$2:$B$1000,$A53,'User flow template'!$L$2:$L$1000,"Fail",'User flow template'!$D$2:$D$1000,$K$1)+COUNTIFS('User flow template'!$B$2:$B$1000,$A53,'User flow template'!$L$2:$L$1000,"Fail",'User flow template'!$D$2:$D$1000,"All sites")))</f>
        <v/>
      </c>
      <c r="G53" s="0" t="str">
        <f aca="false">IF($A53="","",IF($K$1="All sites",COUNTIFS('User flow template'!$B$2:$B$1000,$A53,'User flow template'!$L$2:$L$1000,"Blocked"),COUNTIFS('User flow template'!$B$2:$B$1000,$A53,'User flow template'!$L$2:$L$1000,"Blocked",'User flow template'!$D$2:$D$1000,$K$1)+COUNTIFS('User flow template'!$B$2:$B$1000,$A53,'User flow template'!$L$2:$L$1000,"Blocked",'User flow template'!$D$2:$D$1000,"All sites")))</f>
        <v/>
      </c>
      <c r="H53" s="0" t="str">
        <f aca="false">IF($A53="","",D53-E53-F53-G53)</f>
        <v/>
      </c>
    </row>
    <row r="54" customFormat="false" ht="15" hidden="false" customHeight="false" outlineLevel="0" collapsed="false">
      <c r="D54" s="0" t="str">
        <f aca="false">IF($A54="","",IF($K$1="All sites",COUNTIFS('User flow template'!$B$2:$B$1000,$A54),COUNTIFS('User flow template'!$B$2:$B$1000,$A54,'User flow template'!$D$2:$D$1000,$K$1)+COUNTIFS('User flow template'!$B$2:$B$1000,$A54,'User flow template'!$D$2:$D$1000,"All sites")))</f>
        <v/>
      </c>
      <c r="E54" s="49" t="str">
        <f aca="false">IF($A54="","",IF($K$1="All sites",COUNTIFS('User flow template'!$B$2:$B$1000,$A54,'User flow template'!$L$2:$L$1000,"Pass"),COUNTIFS('User flow template'!$B$2:$B$1000,$A54,'User flow template'!$L$2:$L$1000,"Pass",'User flow template'!$D$2:$D$1000,$K$1)+COUNTIFS('User flow template'!$B$2:$B$1000,$A54,'User flow template'!$L$2:$L$1000,"Pass",'User flow template'!$D$2:$D$1000,"All sites")))</f>
        <v/>
      </c>
      <c r="F54" s="0" t="str">
        <f aca="false">IF($A54="","",IF($K$1="All sites",COUNTIFS('User flow template'!$B$2:$B$1000,$A54,'User flow template'!$L$2:$L$1000,"Fail"),COUNTIFS('User flow template'!$B$2:$B$1000,$A54,'User flow template'!$L$2:$L$1000,"Fail",'User flow template'!$D$2:$D$1000,$K$1)+COUNTIFS('User flow template'!$B$2:$B$1000,$A54,'User flow template'!$L$2:$L$1000,"Fail",'User flow template'!$D$2:$D$1000,"All sites")))</f>
        <v/>
      </c>
      <c r="G54" s="0" t="str">
        <f aca="false">IF($A54="","",IF($K$1="All sites",COUNTIFS('User flow template'!$B$2:$B$1000,$A54,'User flow template'!$L$2:$L$1000,"Blocked"),COUNTIFS('User flow template'!$B$2:$B$1000,$A54,'User flow template'!$L$2:$L$1000,"Blocked",'User flow template'!$D$2:$D$1000,$K$1)+COUNTIFS('User flow template'!$B$2:$B$1000,$A54,'User flow template'!$L$2:$L$1000,"Blocked",'User flow template'!$D$2:$D$1000,"All sites")))</f>
        <v/>
      </c>
      <c r="H54" s="0" t="str">
        <f aca="false">IF($A54="","",D54-E54-F54-G54)</f>
        <v/>
      </c>
    </row>
    <row r="55" customFormat="false" ht="15" hidden="false" customHeight="false" outlineLevel="0" collapsed="false">
      <c r="D55" s="0" t="str">
        <f aca="false">IF($A55="","",IF($K$1="All sites",COUNTIFS('User flow template'!$B$2:$B$1000,$A55),COUNTIFS('User flow template'!$B$2:$B$1000,$A55,'User flow template'!$D$2:$D$1000,$K$1)+COUNTIFS('User flow template'!$B$2:$B$1000,$A55,'User flow template'!$D$2:$D$1000,"All sites")))</f>
        <v/>
      </c>
      <c r="E55" s="49" t="str">
        <f aca="false">IF($A55="","",IF($K$1="All sites",COUNTIFS('User flow template'!$B$2:$B$1000,$A55,'User flow template'!$L$2:$L$1000,"Pass"),COUNTIFS('User flow template'!$B$2:$B$1000,$A55,'User flow template'!$L$2:$L$1000,"Pass",'User flow template'!$D$2:$D$1000,$K$1)+COUNTIFS('User flow template'!$B$2:$B$1000,$A55,'User flow template'!$L$2:$L$1000,"Pass",'User flow template'!$D$2:$D$1000,"All sites")))</f>
        <v/>
      </c>
      <c r="F55" s="0" t="str">
        <f aca="false">IF($A55="","",IF($K$1="All sites",COUNTIFS('User flow template'!$B$2:$B$1000,$A55,'User flow template'!$L$2:$L$1000,"Fail"),COUNTIFS('User flow template'!$B$2:$B$1000,$A55,'User flow template'!$L$2:$L$1000,"Fail",'User flow template'!$D$2:$D$1000,$K$1)+COUNTIFS('User flow template'!$B$2:$B$1000,$A55,'User flow template'!$L$2:$L$1000,"Fail",'User flow template'!$D$2:$D$1000,"All sites")))</f>
        <v/>
      </c>
      <c r="G55" s="0" t="str">
        <f aca="false">IF($A55="","",IF($K$1="All sites",COUNTIFS('User flow template'!$B$2:$B$1000,$A55,'User flow template'!$L$2:$L$1000,"Blocked"),COUNTIFS('User flow template'!$B$2:$B$1000,$A55,'User flow template'!$L$2:$L$1000,"Blocked",'User flow template'!$D$2:$D$1000,$K$1)+COUNTIFS('User flow template'!$B$2:$B$1000,$A55,'User flow template'!$L$2:$L$1000,"Blocked",'User flow template'!$D$2:$D$1000,"All sites")))</f>
        <v/>
      </c>
      <c r="H55" s="0" t="str">
        <f aca="false">IF($A55="","",D55-E55-F55-G55)</f>
        <v/>
      </c>
    </row>
    <row r="56" customFormat="false" ht="15" hidden="false" customHeight="false" outlineLevel="0" collapsed="false">
      <c r="D56" s="0" t="str">
        <f aca="false">IF($A56="","",IF($K$1="All sites",COUNTIFS('User flow template'!$B$2:$B$1000,$A56),COUNTIFS('User flow template'!$B$2:$B$1000,$A56,'User flow template'!$D$2:$D$1000,$K$1)+COUNTIFS('User flow template'!$B$2:$B$1000,$A56,'User flow template'!$D$2:$D$1000,"All sites")))</f>
        <v/>
      </c>
      <c r="E56" s="49" t="str">
        <f aca="false">IF($A56="","",IF($K$1="All sites",COUNTIFS('User flow template'!$B$2:$B$1000,$A56,'User flow template'!$L$2:$L$1000,"Pass"),COUNTIFS('User flow template'!$B$2:$B$1000,$A56,'User flow template'!$L$2:$L$1000,"Pass",'User flow template'!$D$2:$D$1000,$K$1)+COUNTIFS('User flow template'!$B$2:$B$1000,$A56,'User flow template'!$L$2:$L$1000,"Pass",'User flow template'!$D$2:$D$1000,"All sites")))</f>
        <v/>
      </c>
      <c r="F56" s="0" t="str">
        <f aca="false">IF($A56="","",IF($K$1="All sites",COUNTIFS('User flow template'!$B$2:$B$1000,$A56,'User flow template'!$L$2:$L$1000,"Fail"),COUNTIFS('User flow template'!$B$2:$B$1000,$A56,'User flow template'!$L$2:$L$1000,"Fail",'User flow template'!$D$2:$D$1000,$K$1)+COUNTIFS('User flow template'!$B$2:$B$1000,$A56,'User flow template'!$L$2:$L$1000,"Fail",'User flow template'!$D$2:$D$1000,"All sites")))</f>
        <v/>
      </c>
      <c r="G56" s="0" t="str">
        <f aca="false">IF($A56="","",IF($K$1="All sites",COUNTIFS('User flow template'!$B$2:$B$1000,$A56,'User flow template'!$L$2:$L$1000,"Blocked"),COUNTIFS('User flow template'!$B$2:$B$1000,$A56,'User flow template'!$L$2:$L$1000,"Blocked",'User flow template'!$D$2:$D$1000,$K$1)+COUNTIFS('User flow template'!$B$2:$B$1000,$A56,'User flow template'!$L$2:$L$1000,"Blocked",'User flow template'!$D$2:$D$1000,"All sites")))</f>
        <v/>
      </c>
      <c r="H56" s="0" t="str">
        <f aca="false">IF($A56="","",D56-E56-F56-G56)</f>
        <v/>
      </c>
    </row>
    <row r="57" customFormat="false" ht="15" hidden="false" customHeight="false" outlineLevel="0" collapsed="false">
      <c r="D57" s="0" t="str">
        <f aca="false">IF($A57="","",IF($K$1="All sites",COUNTIFS('User flow template'!$B$2:$B$1000,$A57),COUNTIFS('User flow template'!$B$2:$B$1000,$A57,'User flow template'!$D$2:$D$1000,$K$1)+COUNTIFS('User flow template'!$B$2:$B$1000,$A57,'User flow template'!$D$2:$D$1000,"All sites")))</f>
        <v/>
      </c>
      <c r="E57" s="49" t="str">
        <f aca="false">IF($A57="","",IF($K$1="All sites",COUNTIFS('User flow template'!$B$2:$B$1000,$A57,'User flow template'!$L$2:$L$1000,"Pass"),COUNTIFS('User flow template'!$B$2:$B$1000,$A57,'User flow template'!$L$2:$L$1000,"Pass",'User flow template'!$D$2:$D$1000,$K$1)+COUNTIFS('User flow template'!$B$2:$B$1000,$A57,'User flow template'!$L$2:$L$1000,"Pass",'User flow template'!$D$2:$D$1000,"All sites")))</f>
        <v/>
      </c>
      <c r="F57" s="0" t="str">
        <f aca="false">IF($A57="","",IF($K$1="All sites",COUNTIFS('User flow template'!$B$2:$B$1000,$A57,'User flow template'!$L$2:$L$1000,"Fail"),COUNTIFS('User flow template'!$B$2:$B$1000,$A57,'User flow template'!$L$2:$L$1000,"Fail",'User flow template'!$D$2:$D$1000,$K$1)+COUNTIFS('User flow template'!$B$2:$B$1000,$A57,'User flow template'!$L$2:$L$1000,"Fail",'User flow template'!$D$2:$D$1000,"All sites")))</f>
        <v/>
      </c>
      <c r="G57" s="0" t="str">
        <f aca="false">IF($A57="","",IF($K$1="All sites",COUNTIFS('User flow template'!$B$2:$B$1000,$A57,'User flow template'!$L$2:$L$1000,"Blocked"),COUNTIFS('User flow template'!$B$2:$B$1000,$A57,'User flow template'!$L$2:$L$1000,"Blocked",'User flow template'!$D$2:$D$1000,$K$1)+COUNTIFS('User flow template'!$B$2:$B$1000,$A57,'User flow template'!$L$2:$L$1000,"Blocked",'User flow template'!$D$2:$D$1000,"All sites")))</f>
        <v/>
      </c>
      <c r="H57" s="0" t="str">
        <f aca="false">IF($A57="","",D57-E57-F57-G57)</f>
        <v/>
      </c>
    </row>
    <row r="58" customFormat="false" ht="15" hidden="false" customHeight="false" outlineLevel="0" collapsed="false">
      <c r="D58" s="0" t="str">
        <f aca="false">IF($A58="","",IF($K$1="All sites",COUNTIFS('User flow template'!$B$2:$B$1000,$A58),COUNTIFS('User flow template'!$B$2:$B$1000,$A58,'User flow template'!$D$2:$D$1000,$K$1)+COUNTIFS('User flow template'!$B$2:$B$1000,$A58,'User flow template'!$D$2:$D$1000,"All sites")))</f>
        <v/>
      </c>
      <c r="E58" s="49" t="str">
        <f aca="false">IF($A58="","",IF($K$1="All sites",COUNTIFS('User flow template'!$B$2:$B$1000,$A58,'User flow template'!$L$2:$L$1000,"Pass"),COUNTIFS('User flow template'!$B$2:$B$1000,$A58,'User flow template'!$L$2:$L$1000,"Pass",'User flow template'!$D$2:$D$1000,$K$1)+COUNTIFS('User flow template'!$B$2:$B$1000,$A58,'User flow template'!$L$2:$L$1000,"Pass",'User flow template'!$D$2:$D$1000,"All sites")))</f>
        <v/>
      </c>
      <c r="F58" s="0" t="str">
        <f aca="false">IF($A58="","",IF($K$1="All sites",COUNTIFS('User flow template'!$B$2:$B$1000,$A58,'User flow template'!$L$2:$L$1000,"Fail"),COUNTIFS('User flow template'!$B$2:$B$1000,$A58,'User flow template'!$L$2:$L$1000,"Fail",'User flow template'!$D$2:$D$1000,$K$1)+COUNTIFS('User flow template'!$B$2:$B$1000,$A58,'User flow template'!$L$2:$L$1000,"Fail",'User flow template'!$D$2:$D$1000,"All sites")))</f>
        <v/>
      </c>
      <c r="G58" s="0" t="str">
        <f aca="false">IF($A58="","",IF($K$1="All sites",COUNTIFS('User flow template'!$B$2:$B$1000,$A58,'User flow template'!$L$2:$L$1000,"Blocked"),COUNTIFS('User flow template'!$B$2:$B$1000,$A58,'User flow template'!$L$2:$L$1000,"Blocked",'User flow template'!$D$2:$D$1000,$K$1)+COUNTIFS('User flow template'!$B$2:$B$1000,$A58,'User flow template'!$L$2:$L$1000,"Blocked",'User flow template'!$D$2:$D$1000,"All sites")))</f>
        <v/>
      </c>
      <c r="H58" s="0" t="str">
        <f aca="false">IF($A58="","",D58-E58-F58-G58)</f>
        <v/>
      </c>
    </row>
    <row r="59" customFormat="false" ht="15" hidden="false" customHeight="false" outlineLevel="0" collapsed="false">
      <c r="D59" s="0" t="str">
        <f aca="false">IF($A59="","",IF($K$1="All sites",COUNTIFS('User flow template'!$B$2:$B$1000,$A59),COUNTIFS('User flow template'!$B$2:$B$1000,$A59,'User flow template'!$D$2:$D$1000,$K$1)+COUNTIFS('User flow template'!$B$2:$B$1000,$A59,'User flow template'!$D$2:$D$1000,"All sites")))</f>
        <v/>
      </c>
      <c r="E59" s="49" t="str">
        <f aca="false">IF($A59="","",IF($K$1="All sites",COUNTIFS('User flow template'!$B$2:$B$1000,$A59,'User flow template'!$L$2:$L$1000,"Pass"),COUNTIFS('User flow template'!$B$2:$B$1000,$A59,'User flow template'!$L$2:$L$1000,"Pass",'User flow template'!$D$2:$D$1000,$K$1)+COUNTIFS('User flow template'!$B$2:$B$1000,$A59,'User flow template'!$L$2:$L$1000,"Pass",'User flow template'!$D$2:$D$1000,"All sites")))</f>
        <v/>
      </c>
      <c r="F59" s="0" t="str">
        <f aca="false">IF($A59="","",IF($K$1="All sites",COUNTIFS('User flow template'!$B$2:$B$1000,$A59,'User flow template'!$L$2:$L$1000,"Fail"),COUNTIFS('User flow template'!$B$2:$B$1000,$A59,'User flow template'!$L$2:$L$1000,"Fail",'User flow template'!$D$2:$D$1000,$K$1)+COUNTIFS('User flow template'!$B$2:$B$1000,$A59,'User flow template'!$L$2:$L$1000,"Fail",'User flow template'!$D$2:$D$1000,"All sites")))</f>
        <v/>
      </c>
      <c r="G59" s="0" t="str">
        <f aca="false">IF($A59="","",IF($K$1="All sites",COUNTIFS('User flow template'!$B$2:$B$1000,$A59,'User flow template'!$L$2:$L$1000,"Blocked"),COUNTIFS('User flow template'!$B$2:$B$1000,$A59,'User flow template'!$L$2:$L$1000,"Blocked",'User flow template'!$D$2:$D$1000,$K$1)+COUNTIFS('User flow template'!$B$2:$B$1000,$A59,'User flow template'!$L$2:$L$1000,"Blocked",'User flow template'!$D$2:$D$1000,"All sites")))</f>
        <v/>
      </c>
      <c r="H59" s="0" t="str">
        <f aca="false">IF($A59="","",D59-E59-F59-G59)</f>
        <v/>
      </c>
    </row>
    <row r="60" customFormat="false" ht="15" hidden="false" customHeight="false" outlineLevel="0" collapsed="false">
      <c r="D60" s="0" t="str">
        <f aca="false">IF($A60="","",IF($K$1="All sites",COUNTIFS('User flow template'!$B$2:$B$1000,$A60),COUNTIFS('User flow template'!$B$2:$B$1000,$A60,'User flow template'!$D$2:$D$1000,$K$1)+COUNTIFS('User flow template'!$B$2:$B$1000,$A60,'User flow template'!$D$2:$D$1000,"All sites")))</f>
        <v/>
      </c>
      <c r="E60" s="49" t="str">
        <f aca="false">IF($A60="","",IF($K$1="All sites",COUNTIFS('User flow template'!$B$2:$B$1000,$A60,'User flow template'!$L$2:$L$1000,"Pass"),COUNTIFS('User flow template'!$B$2:$B$1000,$A60,'User flow template'!$L$2:$L$1000,"Pass",'User flow template'!$D$2:$D$1000,$K$1)+COUNTIFS('User flow template'!$B$2:$B$1000,$A60,'User flow template'!$L$2:$L$1000,"Pass",'User flow template'!$D$2:$D$1000,"All sites")))</f>
        <v/>
      </c>
      <c r="F60" s="0" t="str">
        <f aca="false">IF($A60="","",IF($K$1="All sites",COUNTIFS('User flow template'!$B$2:$B$1000,$A60,'User flow template'!$L$2:$L$1000,"Fail"),COUNTIFS('User flow template'!$B$2:$B$1000,$A60,'User flow template'!$L$2:$L$1000,"Fail",'User flow template'!$D$2:$D$1000,$K$1)+COUNTIFS('User flow template'!$B$2:$B$1000,$A60,'User flow template'!$L$2:$L$1000,"Fail",'User flow template'!$D$2:$D$1000,"All sites")))</f>
        <v/>
      </c>
      <c r="G60" s="0" t="str">
        <f aca="false">IF($A60="","",IF($K$1="All sites",COUNTIFS('User flow template'!$B$2:$B$1000,$A60,'User flow template'!$L$2:$L$1000,"Blocked"),COUNTIFS('User flow template'!$B$2:$B$1000,$A60,'User flow template'!$L$2:$L$1000,"Blocked",'User flow template'!$D$2:$D$1000,$K$1)+COUNTIFS('User flow template'!$B$2:$B$1000,$A60,'User flow template'!$L$2:$L$1000,"Blocked",'User flow template'!$D$2:$D$1000,"All sites")))</f>
        <v/>
      </c>
      <c r="H60" s="0" t="str">
        <f aca="false">IF($A60="","",D60-E60-F60-G60)</f>
        <v/>
      </c>
    </row>
    <row r="61" customFormat="false" ht="15" hidden="false" customHeight="false" outlineLevel="0" collapsed="false">
      <c r="D61" s="0" t="str">
        <f aca="false">IF($A61="","",IF($K$1="All sites",COUNTIFS('User flow template'!$B$2:$B$1000,$A61),COUNTIFS('User flow template'!$B$2:$B$1000,$A61,'User flow template'!$D$2:$D$1000,$K$1)+COUNTIFS('User flow template'!$B$2:$B$1000,$A61,'User flow template'!$D$2:$D$1000,"All sites")))</f>
        <v/>
      </c>
      <c r="E61" s="49" t="str">
        <f aca="false">IF($A61="","",IF($K$1="All sites",COUNTIFS('User flow template'!$B$2:$B$1000,$A61,'User flow template'!$L$2:$L$1000,"Pass"),COUNTIFS('User flow template'!$B$2:$B$1000,$A61,'User flow template'!$L$2:$L$1000,"Pass",'User flow template'!$D$2:$D$1000,$K$1)+COUNTIFS('User flow template'!$B$2:$B$1000,$A61,'User flow template'!$L$2:$L$1000,"Pass",'User flow template'!$D$2:$D$1000,"All sites")))</f>
        <v/>
      </c>
      <c r="F61" s="0" t="str">
        <f aca="false">IF($A61="","",IF($K$1="All sites",COUNTIFS('User flow template'!$B$2:$B$1000,$A61,'User flow template'!$L$2:$L$1000,"Fail"),COUNTIFS('User flow template'!$B$2:$B$1000,$A61,'User flow template'!$L$2:$L$1000,"Fail",'User flow template'!$D$2:$D$1000,$K$1)+COUNTIFS('User flow template'!$B$2:$B$1000,$A61,'User flow template'!$L$2:$L$1000,"Fail",'User flow template'!$D$2:$D$1000,"All sites")))</f>
        <v/>
      </c>
      <c r="G61" s="0" t="str">
        <f aca="false">IF($A61="","",IF($K$1="All sites",COUNTIFS('User flow template'!$B$2:$B$1000,$A61,'User flow template'!$L$2:$L$1000,"Blocked"),COUNTIFS('User flow template'!$B$2:$B$1000,$A61,'User flow template'!$L$2:$L$1000,"Blocked",'User flow template'!$D$2:$D$1000,$K$1)+COUNTIFS('User flow template'!$B$2:$B$1000,$A61,'User flow template'!$L$2:$L$1000,"Blocked",'User flow template'!$D$2:$D$1000,"All sites")))</f>
        <v/>
      </c>
      <c r="H61" s="0" t="str">
        <f aca="false">IF($A61="","",D61-E61-F61-G61)</f>
        <v/>
      </c>
    </row>
    <row r="62" customFormat="false" ht="15" hidden="false" customHeight="false" outlineLevel="0" collapsed="false">
      <c r="D62" s="0" t="str">
        <f aca="false">IF($A62="","",IF($K$1="All sites",COUNTIFS('User flow template'!$B$2:$B$1000,$A62),COUNTIFS('User flow template'!$B$2:$B$1000,$A62,'User flow template'!$D$2:$D$1000,$K$1)+COUNTIFS('User flow template'!$B$2:$B$1000,$A62,'User flow template'!$D$2:$D$1000,"All sites")))</f>
        <v/>
      </c>
      <c r="E62" s="49" t="str">
        <f aca="false">IF($A62="","",IF($K$1="All sites",COUNTIFS('User flow template'!$B$2:$B$1000,$A62,'User flow template'!$L$2:$L$1000,"Pass"),COUNTIFS('User flow template'!$B$2:$B$1000,$A62,'User flow template'!$L$2:$L$1000,"Pass",'User flow template'!$D$2:$D$1000,$K$1)+COUNTIFS('User flow template'!$B$2:$B$1000,$A62,'User flow template'!$L$2:$L$1000,"Pass",'User flow template'!$D$2:$D$1000,"All sites")))</f>
        <v/>
      </c>
      <c r="F62" s="0" t="str">
        <f aca="false">IF($A62="","",IF($K$1="All sites",COUNTIFS('User flow template'!$B$2:$B$1000,$A62,'User flow template'!$L$2:$L$1000,"Fail"),COUNTIFS('User flow template'!$B$2:$B$1000,$A62,'User flow template'!$L$2:$L$1000,"Fail",'User flow template'!$D$2:$D$1000,$K$1)+COUNTIFS('User flow template'!$B$2:$B$1000,$A62,'User flow template'!$L$2:$L$1000,"Fail",'User flow template'!$D$2:$D$1000,"All sites")))</f>
        <v/>
      </c>
      <c r="G62" s="0" t="str">
        <f aca="false">IF($A62="","",IF($K$1="All sites",COUNTIFS('User flow template'!$B$2:$B$1000,$A62,'User flow template'!$L$2:$L$1000,"Blocked"),COUNTIFS('User flow template'!$B$2:$B$1000,$A62,'User flow template'!$L$2:$L$1000,"Blocked",'User flow template'!$D$2:$D$1000,$K$1)+COUNTIFS('User flow template'!$B$2:$B$1000,$A62,'User flow template'!$L$2:$L$1000,"Blocked",'User flow template'!$D$2:$D$1000,"All sites")))</f>
        <v/>
      </c>
      <c r="H62" s="0" t="str">
        <f aca="false">IF($A62="","",D62-E62-F62-G62)</f>
        <v/>
      </c>
    </row>
    <row r="63" customFormat="false" ht="15" hidden="false" customHeight="false" outlineLevel="0" collapsed="false">
      <c r="D63" s="0" t="str">
        <f aca="false">IF($A63="","",IF($K$1="All sites",COUNTIFS('User flow template'!$B$2:$B$1000,$A63),COUNTIFS('User flow template'!$B$2:$B$1000,$A63,'User flow template'!$D$2:$D$1000,$K$1)+COUNTIFS('User flow template'!$B$2:$B$1000,$A63,'User flow template'!$D$2:$D$1000,"All sites")))</f>
        <v/>
      </c>
      <c r="E63" s="49" t="str">
        <f aca="false">IF($A63="","",IF($K$1="All sites",COUNTIFS('User flow template'!$B$2:$B$1000,$A63,'User flow template'!$L$2:$L$1000,"Pass"),COUNTIFS('User flow template'!$B$2:$B$1000,$A63,'User flow template'!$L$2:$L$1000,"Pass",'User flow template'!$D$2:$D$1000,$K$1)+COUNTIFS('User flow template'!$B$2:$B$1000,$A63,'User flow template'!$L$2:$L$1000,"Pass",'User flow template'!$D$2:$D$1000,"All sites")))</f>
        <v/>
      </c>
      <c r="F63" s="0" t="str">
        <f aca="false">IF($A63="","",IF($K$1="All sites",COUNTIFS('User flow template'!$B$2:$B$1000,$A63,'User flow template'!$L$2:$L$1000,"Fail"),COUNTIFS('User flow template'!$B$2:$B$1000,$A63,'User flow template'!$L$2:$L$1000,"Fail",'User flow template'!$D$2:$D$1000,$K$1)+COUNTIFS('User flow template'!$B$2:$B$1000,$A63,'User flow template'!$L$2:$L$1000,"Fail",'User flow template'!$D$2:$D$1000,"All sites")))</f>
        <v/>
      </c>
      <c r="G63" s="0" t="str">
        <f aca="false">IF($A63="","",IF($K$1="All sites",COUNTIFS('User flow template'!$B$2:$B$1000,$A63,'User flow template'!$L$2:$L$1000,"Blocked"),COUNTIFS('User flow template'!$B$2:$B$1000,$A63,'User flow template'!$L$2:$L$1000,"Blocked",'User flow template'!$D$2:$D$1000,$K$1)+COUNTIFS('User flow template'!$B$2:$B$1000,$A63,'User flow template'!$L$2:$L$1000,"Blocked",'User flow template'!$D$2:$D$1000,"All sites")))</f>
        <v/>
      </c>
      <c r="H63" s="0" t="str">
        <f aca="false">IF($A63="","",D63-E63-F63-G63)</f>
        <v/>
      </c>
    </row>
    <row r="64" customFormat="false" ht="15" hidden="false" customHeight="false" outlineLevel="0" collapsed="false">
      <c r="D64" s="0" t="str">
        <f aca="false">IF($A64="","",IF($K$1="All sites",COUNTIFS('User flow template'!$B$2:$B$1000,$A64),COUNTIFS('User flow template'!$B$2:$B$1000,$A64,'User flow template'!$D$2:$D$1000,$K$1)+COUNTIFS('User flow template'!$B$2:$B$1000,$A64,'User flow template'!$D$2:$D$1000,"All sites")))</f>
        <v/>
      </c>
      <c r="E64" s="49" t="str">
        <f aca="false">IF($A64="","",IF($K$1="All sites",COUNTIFS('User flow template'!$B$2:$B$1000,$A64,'User flow template'!$L$2:$L$1000,"Pass"),COUNTIFS('User flow template'!$B$2:$B$1000,$A64,'User flow template'!$L$2:$L$1000,"Pass",'User flow template'!$D$2:$D$1000,$K$1)+COUNTIFS('User flow template'!$B$2:$B$1000,$A64,'User flow template'!$L$2:$L$1000,"Pass",'User flow template'!$D$2:$D$1000,"All sites")))</f>
        <v/>
      </c>
      <c r="F64" s="0" t="str">
        <f aca="false">IF($A64="","",IF($K$1="All sites",COUNTIFS('User flow template'!$B$2:$B$1000,$A64,'User flow template'!$L$2:$L$1000,"Fail"),COUNTIFS('User flow template'!$B$2:$B$1000,$A64,'User flow template'!$L$2:$L$1000,"Fail",'User flow template'!$D$2:$D$1000,$K$1)+COUNTIFS('User flow template'!$B$2:$B$1000,$A64,'User flow template'!$L$2:$L$1000,"Fail",'User flow template'!$D$2:$D$1000,"All sites")))</f>
        <v/>
      </c>
      <c r="G64" s="0" t="str">
        <f aca="false">IF($A64="","",IF($K$1="All sites",COUNTIFS('User flow template'!$B$2:$B$1000,$A64,'User flow template'!$L$2:$L$1000,"Blocked"),COUNTIFS('User flow template'!$B$2:$B$1000,$A64,'User flow template'!$L$2:$L$1000,"Blocked",'User flow template'!$D$2:$D$1000,$K$1)+COUNTIFS('User flow template'!$B$2:$B$1000,$A64,'User flow template'!$L$2:$L$1000,"Blocked",'User flow template'!$D$2:$D$1000,"All sites")))</f>
        <v/>
      </c>
      <c r="H64" s="0" t="str">
        <f aca="false">IF($A64="","",D64-E64-F64-G64)</f>
        <v/>
      </c>
    </row>
    <row r="65" customFormat="false" ht="15" hidden="false" customHeight="false" outlineLevel="0" collapsed="false">
      <c r="D65" s="0" t="str">
        <f aca="false">IF($A65="","",IF($K$1="All sites",COUNTIFS('User flow template'!$B$2:$B$1000,$A65),COUNTIFS('User flow template'!$B$2:$B$1000,$A65,'User flow template'!$D$2:$D$1000,$K$1)+COUNTIFS('User flow template'!$B$2:$B$1000,$A65,'User flow template'!$D$2:$D$1000,"All sites")))</f>
        <v/>
      </c>
      <c r="E65" s="49" t="str">
        <f aca="false">IF($A65="","",IF($K$1="All sites",COUNTIFS('User flow template'!$B$2:$B$1000,$A65,'User flow template'!$L$2:$L$1000,"Pass"),COUNTIFS('User flow template'!$B$2:$B$1000,$A65,'User flow template'!$L$2:$L$1000,"Pass",'User flow template'!$D$2:$D$1000,$K$1)+COUNTIFS('User flow template'!$B$2:$B$1000,$A65,'User flow template'!$L$2:$L$1000,"Pass",'User flow template'!$D$2:$D$1000,"All sites")))</f>
        <v/>
      </c>
      <c r="F65" s="0" t="str">
        <f aca="false">IF($A65="","",IF($K$1="All sites",COUNTIFS('User flow template'!$B$2:$B$1000,$A65,'User flow template'!$L$2:$L$1000,"Fail"),COUNTIFS('User flow template'!$B$2:$B$1000,$A65,'User flow template'!$L$2:$L$1000,"Fail",'User flow template'!$D$2:$D$1000,$K$1)+COUNTIFS('User flow template'!$B$2:$B$1000,$A65,'User flow template'!$L$2:$L$1000,"Fail",'User flow template'!$D$2:$D$1000,"All sites")))</f>
        <v/>
      </c>
      <c r="G65" s="0" t="str">
        <f aca="false">IF($A65="","",IF($K$1="All sites",COUNTIFS('User flow template'!$B$2:$B$1000,$A65,'User flow template'!$L$2:$L$1000,"Blocked"),COUNTIFS('User flow template'!$B$2:$B$1000,$A65,'User flow template'!$L$2:$L$1000,"Blocked",'User flow template'!$D$2:$D$1000,$K$1)+COUNTIFS('User flow template'!$B$2:$B$1000,$A65,'User flow template'!$L$2:$L$1000,"Blocked",'User flow template'!$D$2:$D$1000,"All sites")))</f>
        <v/>
      </c>
      <c r="H65" s="0" t="str">
        <f aca="false">IF($A65="","",D65-E65-F65-G65)</f>
        <v/>
      </c>
    </row>
    <row r="66" customFormat="false" ht="15" hidden="false" customHeight="false" outlineLevel="0" collapsed="false">
      <c r="D66" s="0" t="str">
        <f aca="false">IF($A66="","",IF($K$1="All sites",COUNTIFS('User flow template'!$B$2:$B$1000,$A66),COUNTIFS('User flow template'!$B$2:$B$1000,$A66,'User flow template'!$D$2:$D$1000,$K$1)+COUNTIFS('User flow template'!$B$2:$B$1000,$A66,'User flow template'!$D$2:$D$1000,"All sites")))</f>
        <v/>
      </c>
      <c r="E66" s="49" t="str">
        <f aca="false">IF($A66="","",IF($K$1="All sites",COUNTIFS('User flow template'!$B$2:$B$1000,$A66,'User flow template'!$L$2:$L$1000,"Pass"),COUNTIFS('User flow template'!$B$2:$B$1000,$A66,'User flow template'!$L$2:$L$1000,"Pass",'User flow template'!$D$2:$D$1000,$K$1)+COUNTIFS('User flow template'!$B$2:$B$1000,$A66,'User flow template'!$L$2:$L$1000,"Pass",'User flow template'!$D$2:$D$1000,"All sites")))</f>
        <v/>
      </c>
      <c r="F66" s="0" t="str">
        <f aca="false">IF($A66="","",IF($K$1="All sites",COUNTIFS('User flow template'!$B$2:$B$1000,$A66,'User flow template'!$L$2:$L$1000,"Fail"),COUNTIFS('User flow template'!$B$2:$B$1000,$A66,'User flow template'!$L$2:$L$1000,"Fail",'User flow template'!$D$2:$D$1000,$K$1)+COUNTIFS('User flow template'!$B$2:$B$1000,$A66,'User flow template'!$L$2:$L$1000,"Fail",'User flow template'!$D$2:$D$1000,"All sites")))</f>
        <v/>
      </c>
      <c r="G66" s="0" t="str">
        <f aca="false">IF($A66="","",IF($K$1="All sites",COUNTIFS('User flow template'!$B$2:$B$1000,$A66,'User flow template'!$L$2:$L$1000,"Blocked"),COUNTIFS('User flow template'!$B$2:$B$1000,$A66,'User flow template'!$L$2:$L$1000,"Blocked",'User flow template'!$D$2:$D$1000,$K$1)+COUNTIFS('User flow template'!$B$2:$B$1000,$A66,'User flow template'!$L$2:$L$1000,"Blocked",'User flow template'!$D$2:$D$1000,"All sites")))</f>
        <v/>
      </c>
      <c r="H66" s="0" t="str">
        <f aca="false">IF($A66="","",D66-E66-F66-G66)</f>
        <v/>
      </c>
    </row>
    <row r="67" customFormat="false" ht="15" hidden="false" customHeight="false" outlineLevel="0" collapsed="false">
      <c r="D67" s="0" t="str">
        <f aca="false">IF($A67="","",IF($K$1="All sites",COUNTIFS('User flow template'!$B$2:$B$1000,$A67),COUNTIFS('User flow template'!$B$2:$B$1000,$A67,'User flow template'!$D$2:$D$1000,$K$1)+COUNTIFS('User flow template'!$B$2:$B$1000,$A67,'User flow template'!$D$2:$D$1000,"All sites")))</f>
        <v/>
      </c>
      <c r="E67" s="49" t="str">
        <f aca="false">IF($A67="","",IF($K$1="All sites",COUNTIFS('User flow template'!$B$2:$B$1000,$A67,'User flow template'!$L$2:$L$1000,"Pass"),COUNTIFS('User flow template'!$B$2:$B$1000,$A67,'User flow template'!$L$2:$L$1000,"Pass",'User flow template'!$D$2:$D$1000,$K$1)+COUNTIFS('User flow template'!$B$2:$B$1000,$A67,'User flow template'!$L$2:$L$1000,"Pass",'User flow template'!$D$2:$D$1000,"All sites")))</f>
        <v/>
      </c>
      <c r="F67" s="0" t="str">
        <f aca="false">IF($A67="","",IF($K$1="All sites",COUNTIFS('User flow template'!$B$2:$B$1000,$A67,'User flow template'!$L$2:$L$1000,"Fail"),COUNTIFS('User flow template'!$B$2:$B$1000,$A67,'User flow template'!$L$2:$L$1000,"Fail",'User flow template'!$D$2:$D$1000,$K$1)+COUNTIFS('User flow template'!$B$2:$B$1000,$A67,'User flow template'!$L$2:$L$1000,"Fail",'User flow template'!$D$2:$D$1000,"All sites")))</f>
        <v/>
      </c>
      <c r="G67" s="0" t="str">
        <f aca="false">IF($A67="","",IF($K$1="All sites",COUNTIFS('User flow template'!$B$2:$B$1000,$A67,'User flow template'!$L$2:$L$1000,"Blocked"),COUNTIFS('User flow template'!$B$2:$B$1000,$A67,'User flow template'!$L$2:$L$1000,"Blocked",'User flow template'!$D$2:$D$1000,$K$1)+COUNTIFS('User flow template'!$B$2:$B$1000,$A67,'User flow template'!$L$2:$L$1000,"Blocked",'User flow template'!$D$2:$D$1000,"All sites")))</f>
        <v/>
      </c>
      <c r="H67" s="0" t="str">
        <f aca="false">IF($A67="","",D67-E67-F67-G67)</f>
        <v/>
      </c>
    </row>
    <row r="68" customFormat="false" ht="15" hidden="false" customHeight="false" outlineLevel="0" collapsed="false">
      <c r="D68" s="0" t="str">
        <f aca="false">IF($A68="","",IF($K$1="All sites",COUNTIFS('User flow template'!$B$2:$B$1000,$A68),COUNTIFS('User flow template'!$B$2:$B$1000,$A68,'User flow template'!$D$2:$D$1000,$K$1)+COUNTIFS('User flow template'!$B$2:$B$1000,$A68,'User flow template'!$D$2:$D$1000,"All sites")))</f>
        <v/>
      </c>
      <c r="E68" s="49" t="str">
        <f aca="false">IF($A68="","",IF($K$1="All sites",COUNTIFS('User flow template'!$B$2:$B$1000,$A68,'User flow template'!$L$2:$L$1000,"Pass"),COUNTIFS('User flow template'!$B$2:$B$1000,$A68,'User flow template'!$L$2:$L$1000,"Pass",'User flow template'!$D$2:$D$1000,$K$1)+COUNTIFS('User flow template'!$B$2:$B$1000,$A68,'User flow template'!$L$2:$L$1000,"Pass",'User flow template'!$D$2:$D$1000,"All sites")))</f>
        <v/>
      </c>
      <c r="F68" s="0" t="str">
        <f aca="false">IF($A68="","",IF($K$1="All sites",COUNTIFS('User flow template'!$B$2:$B$1000,$A68,'User flow template'!$L$2:$L$1000,"Fail"),COUNTIFS('User flow template'!$B$2:$B$1000,$A68,'User flow template'!$L$2:$L$1000,"Fail",'User flow template'!$D$2:$D$1000,$K$1)+COUNTIFS('User flow template'!$B$2:$B$1000,$A68,'User flow template'!$L$2:$L$1000,"Fail",'User flow template'!$D$2:$D$1000,"All sites")))</f>
        <v/>
      </c>
      <c r="G68" s="0" t="str">
        <f aca="false">IF($A68="","",IF($K$1="All sites",COUNTIFS('User flow template'!$B$2:$B$1000,$A68,'User flow template'!$L$2:$L$1000,"Blocked"),COUNTIFS('User flow template'!$B$2:$B$1000,$A68,'User flow template'!$L$2:$L$1000,"Blocked",'User flow template'!$D$2:$D$1000,$K$1)+COUNTIFS('User flow template'!$B$2:$B$1000,$A68,'User flow template'!$L$2:$L$1000,"Blocked",'User flow template'!$D$2:$D$1000,"All sites")))</f>
        <v/>
      </c>
      <c r="H68" s="0" t="str">
        <f aca="false">IF($A68="","",D68-E68-F68-G68)</f>
        <v/>
      </c>
    </row>
    <row r="69" customFormat="false" ht="15" hidden="false" customHeight="false" outlineLevel="0" collapsed="false">
      <c r="D69" s="0" t="str">
        <f aca="false">IF($A69="","",IF($K$1="All sites",COUNTIFS('User flow template'!$B$2:$B$1000,$A69),COUNTIFS('User flow template'!$B$2:$B$1000,$A69,'User flow template'!$D$2:$D$1000,$K$1)+COUNTIFS('User flow template'!$B$2:$B$1000,$A69,'User flow template'!$D$2:$D$1000,"All sites")))</f>
        <v/>
      </c>
      <c r="E69" s="49" t="str">
        <f aca="false">IF($A69="","",IF($K$1="All sites",COUNTIFS('User flow template'!$B$2:$B$1000,$A69,'User flow template'!$L$2:$L$1000,"Pass"),COUNTIFS('User flow template'!$B$2:$B$1000,$A69,'User flow template'!$L$2:$L$1000,"Pass",'User flow template'!$D$2:$D$1000,$K$1)+COUNTIFS('User flow template'!$B$2:$B$1000,$A69,'User flow template'!$L$2:$L$1000,"Pass",'User flow template'!$D$2:$D$1000,"All sites")))</f>
        <v/>
      </c>
      <c r="F69" s="0" t="str">
        <f aca="false">IF($A69="","",IF($K$1="All sites",COUNTIFS('User flow template'!$B$2:$B$1000,$A69,'User flow template'!$L$2:$L$1000,"Fail"),COUNTIFS('User flow template'!$B$2:$B$1000,$A69,'User flow template'!$L$2:$L$1000,"Fail",'User flow template'!$D$2:$D$1000,$K$1)+COUNTIFS('User flow template'!$B$2:$B$1000,$A69,'User flow template'!$L$2:$L$1000,"Fail",'User flow template'!$D$2:$D$1000,"All sites")))</f>
        <v/>
      </c>
      <c r="G69" s="0" t="str">
        <f aca="false">IF($A69="","",IF($K$1="All sites",COUNTIFS('User flow template'!$B$2:$B$1000,$A69,'User flow template'!$L$2:$L$1000,"Blocked"),COUNTIFS('User flow template'!$B$2:$B$1000,$A69,'User flow template'!$L$2:$L$1000,"Blocked",'User flow template'!$D$2:$D$1000,$K$1)+COUNTIFS('User flow template'!$B$2:$B$1000,$A69,'User flow template'!$L$2:$L$1000,"Blocked",'User flow template'!$D$2:$D$1000,"All sites")))</f>
        <v/>
      </c>
      <c r="H69" s="0" t="str">
        <f aca="false">IF($A69="","",D69-E69-F69-G69)</f>
        <v/>
      </c>
    </row>
    <row r="70" customFormat="false" ht="15" hidden="false" customHeight="false" outlineLevel="0" collapsed="false">
      <c r="D70" s="0" t="str">
        <f aca="false">IF($A70="","",IF($K$1="All sites",COUNTIFS('User flow template'!$B$2:$B$1000,$A70),COUNTIFS('User flow template'!$B$2:$B$1000,$A70,'User flow template'!$D$2:$D$1000,$K$1)+COUNTIFS('User flow template'!$B$2:$B$1000,$A70,'User flow template'!$D$2:$D$1000,"All sites")))</f>
        <v/>
      </c>
      <c r="E70" s="49" t="str">
        <f aca="false">IF($A70="","",IF($K$1="All sites",COUNTIFS('User flow template'!$B$2:$B$1000,$A70,'User flow template'!$L$2:$L$1000,"Pass"),COUNTIFS('User flow template'!$B$2:$B$1000,$A70,'User flow template'!$L$2:$L$1000,"Pass",'User flow template'!$D$2:$D$1000,$K$1)+COUNTIFS('User flow template'!$B$2:$B$1000,$A70,'User flow template'!$L$2:$L$1000,"Pass",'User flow template'!$D$2:$D$1000,"All sites")))</f>
        <v/>
      </c>
      <c r="F70" s="0" t="str">
        <f aca="false">IF($A70="","",IF($K$1="All sites",COUNTIFS('User flow template'!$B$2:$B$1000,$A70,'User flow template'!$L$2:$L$1000,"Fail"),COUNTIFS('User flow template'!$B$2:$B$1000,$A70,'User flow template'!$L$2:$L$1000,"Fail",'User flow template'!$D$2:$D$1000,$K$1)+COUNTIFS('User flow template'!$B$2:$B$1000,$A70,'User flow template'!$L$2:$L$1000,"Fail",'User flow template'!$D$2:$D$1000,"All sites")))</f>
        <v/>
      </c>
      <c r="G70" s="0" t="str">
        <f aca="false">IF($A70="","",IF($K$1="All sites",COUNTIFS('User flow template'!$B$2:$B$1000,$A70,'User flow template'!$L$2:$L$1000,"Blocked"),COUNTIFS('User flow template'!$B$2:$B$1000,$A70,'User flow template'!$L$2:$L$1000,"Blocked",'User flow template'!$D$2:$D$1000,$K$1)+COUNTIFS('User flow template'!$B$2:$B$1000,$A70,'User flow template'!$L$2:$L$1000,"Blocked",'User flow template'!$D$2:$D$1000,"All sites")))</f>
        <v/>
      </c>
      <c r="H70" s="0" t="str">
        <f aca="false">IF($A70="","",D70-E70-F70-G70)</f>
        <v/>
      </c>
    </row>
    <row r="71" customFormat="false" ht="15" hidden="false" customHeight="false" outlineLevel="0" collapsed="false">
      <c r="D71" s="0" t="str">
        <f aca="false">IF($A71="","",IF($K$1="All sites",COUNTIFS('User flow template'!$B$2:$B$1000,$A71),COUNTIFS('User flow template'!$B$2:$B$1000,$A71,'User flow template'!$D$2:$D$1000,$K$1)+COUNTIFS('User flow template'!$B$2:$B$1000,$A71,'User flow template'!$D$2:$D$1000,"All sites")))</f>
        <v/>
      </c>
      <c r="E71" s="49" t="str">
        <f aca="false">IF($A71="","",IF($K$1="All sites",COUNTIFS('User flow template'!$B$2:$B$1000,$A71,'User flow template'!$L$2:$L$1000,"Pass"),COUNTIFS('User flow template'!$B$2:$B$1000,$A71,'User flow template'!$L$2:$L$1000,"Pass",'User flow template'!$D$2:$D$1000,$K$1)+COUNTIFS('User flow template'!$B$2:$B$1000,$A71,'User flow template'!$L$2:$L$1000,"Pass",'User flow template'!$D$2:$D$1000,"All sites")))</f>
        <v/>
      </c>
      <c r="F71" s="0" t="str">
        <f aca="false">IF($A71="","",IF($K$1="All sites",COUNTIFS('User flow template'!$B$2:$B$1000,$A71,'User flow template'!$L$2:$L$1000,"Fail"),COUNTIFS('User flow template'!$B$2:$B$1000,$A71,'User flow template'!$L$2:$L$1000,"Fail",'User flow template'!$D$2:$D$1000,$K$1)+COUNTIFS('User flow template'!$B$2:$B$1000,$A71,'User flow template'!$L$2:$L$1000,"Fail",'User flow template'!$D$2:$D$1000,"All sites")))</f>
        <v/>
      </c>
      <c r="G71" s="0" t="str">
        <f aca="false">IF($A71="","",IF($K$1="All sites",COUNTIFS('User flow template'!$B$2:$B$1000,$A71,'User flow template'!$L$2:$L$1000,"Blocked"),COUNTIFS('User flow template'!$B$2:$B$1000,$A71,'User flow template'!$L$2:$L$1000,"Blocked",'User flow template'!$D$2:$D$1000,$K$1)+COUNTIFS('User flow template'!$B$2:$B$1000,$A71,'User flow template'!$L$2:$L$1000,"Blocked",'User flow template'!$D$2:$D$1000,"All sites")))</f>
        <v/>
      </c>
      <c r="H71" s="0" t="str">
        <f aca="false">IF($A71="","",D71-E71-F71-G71)</f>
        <v/>
      </c>
    </row>
    <row r="72" customFormat="false" ht="15" hidden="false" customHeight="false" outlineLevel="0" collapsed="false">
      <c r="D72" s="0" t="str">
        <f aca="false">IF($A72="","",IF($K$1="All sites",COUNTIFS('User flow template'!$B$2:$B$1000,$A72),COUNTIFS('User flow template'!$B$2:$B$1000,$A72,'User flow template'!$D$2:$D$1000,$K$1)+COUNTIFS('User flow template'!$B$2:$B$1000,$A72,'User flow template'!$D$2:$D$1000,"All sites")))</f>
        <v/>
      </c>
      <c r="E72" s="49" t="str">
        <f aca="false">IF($A72="","",IF($K$1="All sites",COUNTIFS('User flow template'!$B$2:$B$1000,$A72,'User flow template'!$L$2:$L$1000,"Pass"),COUNTIFS('User flow template'!$B$2:$B$1000,$A72,'User flow template'!$L$2:$L$1000,"Pass",'User flow template'!$D$2:$D$1000,$K$1)+COUNTIFS('User flow template'!$B$2:$B$1000,$A72,'User flow template'!$L$2:$L$1000,"Pass",'User flow template'!$D$2:$D$1000,"All sites")))</f>
        <v/>
      </c>
      <c r="F72" s="0" t="str">
        <f aca="false">IF($A72="","",IF($K$1="All sites",COUNTIFS('User flow template'!$B$2:$B$1000,$A72,'User flow template'!$L$2:$L$1000,"Fail"),COUNTIFS('User flow template'!$B$2:$B$1000,$A72,'User flow template'!$L$2:$L$1000,"Fail",'User flow template'!$D$2:$D$1000,$K$1)+COUNTIFS('User flow template'!$B$2:$B$1000,$A72,'User flow template'!$L$2:$L$1000,"Fail",'User flow template'!$D$2:$D$1000,"All sites")))</f>
        <v/>
      </c>
      <c r="G72" s="0" t="str">
        <f aca="false">IF($A72="","",IF($K$1="All sites",COUNTIFS('User flow template'!$B$2:$B$1000,$A72,'User flow template'!$L$2:$L$1000,"Blocked"),COUNTIFS('User flow template'!$B$2:$B$1000,$A72,'User flow template'!$L$2:$L$1000,"Blocked",'User flow template'!$D$2:$D$1000,$K$1)+COUNTIFS('User flow template'!$B$2:$B$1000,$A72,'User flow template'!$L$2:$L$1000,"Blocked",'User flow template'!$D$2:$D$1000,"All sites")))</f>
        <v/>
      </c>
      <c r="H72" s="0" t="str">
        <f aca="false">IF($A72="","",D72-E72-F72-G72)</f>
        <v/>
      </c>
    </row>
    <row r="73" customFormat="false" ht="15" hidden="false" customHeight="false" outlineLevel="0" collapsed="false">
      <c r="D73" s="0" t="str">
        <f aca="false">IF($A73="","",IF($K$1="All sites",COUNTIFS('User flow template'!$B$2:$B$1000,$A73),COUNTIFS('User flow template'!$B$2:$B$1000,$A73,'User flow template'!$D$2:$D$1000,$K$1)+COUNTIFS('User flow template'!$B$2:$B$1000,$A73,'User flow template'!$D$2:$D$1000,"All sites")))</f>
        <v/>
      </c>
      <c r="E73" s="49" t="str">
        <f aca="false">IF($A73="","",IF($K$1="All sites",COUNTIFS('User flow template'!$B$2:$B$1000,$A73,'User flow template'!$L$2:$L$1000,"Pass"),COUNTIFS('User flow template'!$B$2:$B$1000,$A73,'User flow template'!$L$2:$L$1000,"Pass",'User flow template'!$D$2:$D$1000,$K$1)+COUNTIFS('User flow template'!$B$2:$B$1000,$A73,'User flow template'!$L$2:$L$1000,"Pass",'User flow template'!$D$2:$D$1000,"All sites")))</f>
        <v/>
      </c>
      <c r="F73" s="0" t="str">
        <f aca="false">IF($A73="","",IF($K$1="All sites",COUNTIFS('User flow template'!$B$2:$B$1000,$A73,'User flow template'!$L$2:$L$1000,"Fail"),COUNTIFS('User flow template'!$B$2:$B$1000,$A73,'User flow template'!$L$2:$L$1000,"Fail",'User flow template'!$D$2:$D$1000,$K$1)+COUNTIFS('User flow template'!$B$2:$B$1000,$A73,'User flow template'!$L$2:$L$1000,"Fail",'User flow template'!$D$2:$D$1000,"All sites")))</f>
        <v/>
      </c>
      <c r="G73" s="0" t="str">
        <f aca="false">IF($A73="","",IF($K$1="All sites",COUNTIFS('User flow template'!$B$2:$B$1000,$A73,'User flow template'!$L$2:$L$1000,"Blocked"),COUNTIFS('User flow template'!$B$2:$B$1000,$A73,'User flow template'!$L$2:$L$1000,"Blocked",'User flow template'!$D$2:$D$1000,$K$1)+COUNTIFS('User flow template'!$B$2:$B$1000,$A73,'User flow template'!$L$2:$L$1000,"Blocked",'User flow template'!$D$2:$D$1000,"All sites")))</f>
        <v/>
      </c>
      <c r="H73" s="0" t="str">
        <f aca="false">IF($A73="","",D73-E73-F73-G73)</f>
        <v/>
      </c>
    </row>
    <row r="74" customFormat="false" ht="15" hidden="false" customHeight="false" outlineLevel="0" collapsed="false">
      <c r="D74" s="0" t="str">
        <f aca="false">IF($A74="","",IF($K$1="All sites",COUNTIFS('User flow template'!$B$2:$B$1000,$A74),COUNTIFS('User flow template'!$B$2:$B$1000,$A74,'User flow template'!$D$2:$D$1000,$K$1)+COUNTIFS('User flow template'!$B$2:$B$1000,$A74,'User flow template'!$D$2:$D$1000,"All sites")))</f>
        <v/>
      </c>
      <c r="E74" s="49" t="str">
        <f aca="false">IF($A74="","",IF($K$1="All sites",COUNTIFS('User flow template'!$B$2:$B$1000,$A74,'User flow template'!$L$2:$L$1000,"Pass"),COUNTIFS('User flow template'!$B$2:$B$1000,$A74,'User flow template'!$L$2:$L$1000,"Pass",'User flow template'!$D$2:$D$1000,$K$1)+COUNTIFS('User flow template'!$B$2:$B$1000,$A74,'User flow template'!$L$2:$L$1000,"Pass",'User flow template'!$D$2:$D$1000,"All sites")))</f>
        <v/>
      </c>
      <c r="F74" s="0" t="str">
        <f aca="false">IF($A74="","",IF($K$1="All sites",COUNTIFS('User flow template'!$B$2:$B$1000,$A74,'User flow template'!$L$2:$L$1000,"Fail"),COUNTIFS('User flow template'!$B$2:$B$1000,$A74,'User flow template'!$L$2:$L$1000,"Fail",'User flow template'!$D$2:$D$1000,$K$1)+COUNTIFS('User flow template'!$B$2:$B$1000,$A74,'User flow template'!$L$2:$L$1000,"Fail",'User flow template'!$D$2:$D$1000,"All sites")))</f>
        <v/>
      </c>
      <c r="G74" s="0" t="str">
        <f aca="false">IF($A74="","",IF($K$1="All sites",COUNTIFS('User flow template'!$B$2:$B$1000,$A74,'User flow template'!$L$2:$L$1000,"Blocked"),COUNTIFS('User flow template'!$B$2:$B$1000,$A74,'User flow template'!$L$2:$L$1000,"Blocked",'User flow template'!$D$2:$D$1000,$K$1)+COUNTIFS('User flow template'!$B$2:$B$1000,$A74,'User flow template'!$L$2:$L$1000,"Blocked",'User flow template'!$D$2:$D$1000,"All sites")))</f>
        <v/>
      </c>
      <c r="H74" s="0" t="str">
        <f aca="false">IF($A74="","",D74-E74-F74-G74)</f>
        <v/>
      </c>
    </row>
    <row r="75" customFormat="false" ht="15" hidden="false" customHeight="false" outlineLevel="0" collapsed="false">
      <c r="D75" s="0" t="str">
        <f aca="false">IF($A75="","",IF($K$1="All sites",COUNTIFS('User flow template'!$B$2:$B$1000,$A75),COUNTIFS('User flow template'!$B$2:$B$1000,$A75,'User flow template'!$D$2:$D$1000,$K$1)+COUNTIFS('User flow template'!$B$2:$B$1000,$A75,'User flow template'!$D$2:$D$1000,"All sites")))</f>
        <v/>
      </c>
      <c r="E75" s="49" t="str">
        <f aca="false">IF($A75="","",IF($K$1="All sites",COUNTIFS('User flow template'!$B$2:$B$1000,$A75,'User flow template'!$L$2:$L$1000,"Pass"),COUNTIFS('User flow template'!$B$2:$B$1000,$A75,'User flow template'!$L$2:$L$1000,"Pass",'User flow template'!$D$2:$D$1000,$K$1)+COUNTIFS('User flow template'!$B$2:$B$1000,$A75,'User flow template'!$L$2:$L$1000,"Pass",'User flow template'!$D$2:$D$1000,"All sites")))</f>
        <v/>
      </c>
      <c r="F75" s="0" t="str">
        <f aca="false">IF($A75="","",IF($K$1="All sites",COUNTIFS('User flow template'!$B$2:$B$1000,$A75,'User flow template'!$L$2:$L$1000,"Fail"),COUNTIFS('User flow template'!$B$2:$B$1000,$A75,'User flow template'!$L$2:$L$1000,"Fail",'User flow template'!$D$2:$D$1000,$K$1)+COUNTIFS('User flow template'!$B$2:$B$1000,$A75,'User flow template'!$L$2:$L$1000,"Fail",'User flow template'!$D$2:$D$1000,"All sites")))</f>
        <v/>
      </c>
      <c r="G75" s="0" t="str">
        <f aca="false">IF($A75="","",IF($K$1="All sites",COUNTIFS('User flow template'!$B$2:$B$1000,$A75,'User flow template'!$L$2:$L$1000,"Blocked"),COUNTIFS('User flow template'!$B$2:$B$1000,$A75,'User flow template'!$L$2:$L$1000,"Blocked",'User flow template'!$D$2:$D$1000,$K$1)+COUNTIFS('User flow template'!$B$2:$B$1000,$A75,'User flow template'!$L$2:$L$1000,"Blocked",'User flow template'!$D$2:$D$1000,"All sites")))</f>
        <v/>
      </c>
      <c r="H75" s="0" t="str">
        <f aca="false">IF($A75="","",D75-E75-F75-G75)</f>
        <v/>
      </c>
    </row>
    <row r="76" customFormat="false" ht="15" hidden="false" customHeight="false" outlineLevel="0" collapsed="false">
      <c r="D76" s="0" t="str">
        <f aca="false">IF($A76="","",IF($K$1="All sites",COUNTIFS('User flow template'!$B$2:$B$1000,$A76),COUNTIFS('User flow template'!$B$2:$B$1000,$A76,'User flow template'!$D$2:$D$1000,$K$1)+COUNTIFS('User flow template'!$B$2:$B$1000,$A76,'User flow template'!$D$2:$D$1000,"All sites")))</f>
        <v/>
      </c>
      <c r="E76" s="49" t="str">
        <f aca="false">IF($A76="","",IF($K$1="All sites",COUNTIFS('User flow template'!$B$2:$B$1000,$A76,'User flow template'!$L$2:$L$1000,"Pass"),COUNTIFS('User flow template'!$B$2:$B$1000,$A76,'User flow template'!$L$2:$L$1000,"Pass",'User flow template'!$D$2:$D$1000,$K$1)+COUNTIFS('User flow template'!$B$2:$B$1000,$A76,'User flow template'!$L$2:$L$1000,"Pass",'User flow template'!$D$2:$D$1000,"All sites")))</f>
        <v/>
      </c>
      <c r="F76" s="0" t="str">
        <f aca="false">IF($A76="","",IF($K$1="All sites",COUNTIFS('User flow template'!$B$2:$B$1000,$A76,'User flow template'!$L$2:$L$1000,"Fail"),COUNTIFS('User flow template'!$B$2:$B$1000,$A76,'User flow template'!$L$2:$L$1000,"Fail",'User flow template'!$D$2:$D$1000,$K$1)+COUNTIFS('User flow template'!$B$2:$B$1000,$A76,'User flow template'!$L$2:$L$1000,"Fail",'User flow template'!$D$2:$D$1000,"All sites")))</f>
        <v/>
      </c>
      <c r="G76" s="0" t="str">
        <f aca="false">IF($A76="","",IF($K$1="All sites",COUNTIFS('User flow template'!$B$2:$B$1000,$A76,'User flow template'!$L$2:$L$1000,"Blocked"),COUNTIFS('User flow template'!$B$2:$B$1000,$A76,'User flow template'!$L$2:$L$1000,"Blocked",'User flow template'!$D$2:$D$1000,$K$1)+COUNTIFS('User flow template'!$B$2:$B$1000,$A76,'User flow template'!$L$2:$L$1000,"Blocked",'User flow template'!$D$2:$D$1000,"All sites")))</f>
        <v/>
      </c>
      <c r="H76" s="0" t="str">
        <f aca="false">IF($A76="","",D76-E76-F76-G76)</f>
        <v/>
      </c>
    </row>
    <row r="77" customFormat="false" ht="15" hidden="false" customHeight="false" outlineLevel="0" collapsed="false">
      <c r="D77" s="0" t="str">
        <f aca="false">IF($A77="","",IF($K$1="All sites",COUNTIFS('User flow template'!$B$2:$B$1000,$A77),COUNTIFS('User flow template'!$B$2:$B$1000,$A77,'User flow template'!$D$2:$D$1000,$K$1)+COUNTIFS('User flow template'!$B$2:$B$1000,$A77,'User flow template'!$D$2:$D$1000,"All sites")))</f>
        <v/>
      </c>
      <c r="E77" s="49" t="str">
        <f aca="false">IF($A77="","",IF($K$1="All sites",COUNTIFS('User flow template'!$B$2:$B$1000,$A77,'User flow template'!$L$2:$L$1000,"Pass"),COUNTIFS('User flow template'!$B$2:$B$1000,$A77,'User flow template'!$L$2:$L$1000,"Pass",'User flow template'!$D$2:$D$1000,$K$1)+COUNTIFS('User flow template'!$B$2:$B$1000,$A77,'User flow template'!$L$2:$L$1000,"Pass",'User flow template'!$D$2:$D$1000,"All sites")))</f>
        <v/>
      </c>
      <c r="F77" s="0" t="str">
        <f aca="false">IF($A77="","",IF($K$1="All sites",COUNTIFS('User flow template'!$B$2:$B$1000,$A77,'User flow template'!$L$2:$L$1000,"Fail"),COUNTIFS('User flow template'!$B$2:$B$1000,$A77,'User flow template'!$L$2:$L$1000,"Fail",'User flow template'!$D$2:$D$1000,$K$1)+COUNTIFS('User flow template'!$B$2:$B$1000,$A77,'User flow template'!$L$2:$L$1000,"Fail",'User flow template'!$D$2:$D$1000,"All sites")))</f>
        <v/>
      </c>
      <c r="G77" s="0" t="str">
        <f aca="false">IF($A77="","",IF($K$1="All sites",COUNTIFS('User flow template'!$B$2:$B$1000,$A77,'User flow template'!$L$2:$L$1000,"Blocked"),COUNTIFS('User flow template'!$B$2:$B$1000,$A77,'User flow template'!$L$2:$L$1000,"Blocked",'User flow template'!$D$2:$D$1000,$K$1)+COUNTIFS('User flow template'!$B$2:$B$1000,$A77,'User flow template'!$L$2:$L$1000,"Blocked",'User flow template'!$D$2:$D$1000,"All sites")))</f>
        <v/>
      </c>
      <c r="H77" s="0" t="str">
        <f aca="false">IF($A77="","",D77-E77-F77-G77)</f>
        <v/>
      </c>
    </row>
    <row r="78" customFormat="false" ht="15" hidden="false" customHeight="false" outlineLevel="0" collapsed="false">
      <c r="D78" s="0" t="str">
        <f aca="false">IF($A78="","",IF($K$1="All sites",COUNTIFS('User flow template'!$B$2:$B$1000,$A78),COUNTIFS('User flow template'!$B$2:$B$1000,$A78,'User flow template'!$D$2:$D$1000,$K$1)+COUNTIFS('User flow template'!$B$2:$B$1000,$A78,'User flow template'!$D$2:$D$1000,"All sites")))</f>
        <v/>
      </c>
      <c r="E78" s="49" t="str">
        <f aca="false">IF($A78="","",IF($K$1="All sites",COUNTIFS('User flow template'!$B$2:$B$1000,$A78,'User flow template'!$L$2:$L$1000,"Pass"),COUNTIFS('User flow template'!$B$2:$B$1000,$A78,'User flow template'!$L$2:$L$1000,"Pass",'User flow template'!$D$2:$D$1000,$K$1)+COUNTIFS('User flow template'!$B$2:$B$1000,$A78,'User flow template'!$L$2:$L$1000,"Pass",'User flow template'!$D$2:$D$1000,"All sites")))</f>
        <v/>
      </c>
      <c r="F78" s="0" t="str">
        <f aca="false">IF($A78="","",IF($K$1="All sites",COUNTIFS('User flow template'!$B$2:$B$1000,$A78,'User flow template'!$L$2:$L$1000,"Fail"),COUNTIFS('User flow template'!$B$2:$B$1000,$A78,'User flow template'!$L$2:$L$1000,"Fail",'User flow template'!$D$2:$D$1000,$K$1)+COUNTIFS('User flow template'!$B$2:$B$1000,$A78,'User flow template'!$L$2:$L$1000,"Fail",'User flow template'!$D$2:$D$1000,"All sites")))</f>
        <v/>
      </c>
      <c r="G78" s="0" t="str">
        <f aca="false">IF($A78="","",IF($K$1="All sites",COUNTIFS('User flow template'!$B$2:$B$1000,$A78,'User flow template'!$L$2:$L$1000,"Blocked"),COUNTIFS('User flow template'!$B$2:$B$1000,$A78,'User flow template'!$L$2:$L$1000,"Blocked",'User flow template'!$D$2:$D$1000,$K$1)+COUNTIFS('User flow template'!$B$2:$B$1000,$A78,'User flow template'!$L$2:$L$1000,"Blocked",'User flow template'!$D$2:$D$1000,"All sites")))</f>
        <v/>
      </c>
      <c r="H78" s="0" t="str">
        <f aca="false">IF($A78="","",D78-E78-F78-G78)</f>
        <v/>
      </c>
    </row>
    <row r="79" customFormat="false" ht="15" hidden="false" customHeight="false" outlineLevel="0" collapsed="false">
      <c r="D79" s="0" t="str">
        <f aca="false">IF($A79="","",IF($K$1="All sites",COUNTIFS('User flow template'!$B$2:$B$1000,$A79),COUNTIFS('User flow template'!$B$2:$B$1000,$A79,'User flow template'!$D$2:$D$1000,$K$1)+COUNTIFS('User flow template'!$B$2:$B$1000,$A79,'User flow template'!$D$2:$D$1000,"All sites")))</f>
        <v/>
      </c>
      <c r="E79" s="49" t="str">
        <f aca="false">IF($A79="","",IF($K$1="All sites",COUNTIFS('User flow template'!$B$2:$B$1000,$A79,'User flow template'!$L$2:$L$1000,"Pass"),COUNTIFS('User flow template'!$B$2:$B$1000,$A79,'User flow template'!$L$2:$L$1000,"Pass",'User flow template'!$D$2:$D$1000,$K$1)+COUNTIFS('User flow template'!$B$2:$B$1000,$A79,'User flow template'!$L$2:$L$1000,"Pass",'User flow template'!$D$2:$D$1000,"All sites")))</f>
        <v/>
      </c>
      <c r="F79" s="0" t="str">
        <f aca="false">IF($A79="","",IF($K$1="All sites",COUNTIFS('User flow template'!$B$2:$B$1000,$A79,'User flow template'!$L$2:$L$1000,"Fail"),COUNTIFS('User flow template'!$B$2:$B$1000,$A79,'User flow template'!$L$2:$L$1000,"Fail",'User flow template'!$D$2:$D$1000,$K$1)+COUNTIFS('User flow template'!$B$2:$B$1000,$A79,'User flow template'!$L$2:$L$1000,"Fail",'User flow template'!$D$2:$D$1000,"All sites")))</f>
        <v/>
      </c>
      <c r="G79" s="0" t="str">
        <f aca="false">IF($A79="","",IF($K$1="All sites",COUNTIFS('User flow template'!$B$2:$B$1000,$A79,'User flow template'!$L$2:$L$1000,"Blocked"),COUNTIFS('User flow template'!$B$2:$B$1000,$A79,'User flow template'!$L$2:$L$1000,"Blocked",'User flow template'!$D$2:$D$1000,$K$1)+COUNTIFS('User flow template'!$B$2:$B$1000,$A79,'User flow template'!$L$2:$L$1000,"Blocked",'User flow template'!$D$2:$D$1000,"All sites")))</f>
        <v/>
      </c>
      <c r="H79" s="0" t="str">
        <f aca="false">IF($A79="","",D79-E79-F79-G79)</f>
        <v/>
      </c>
    </row>
    <row r="80" customFormat="false" ht="15" hidden="false" customHeight="false" outlineLevel="0" collapsed="false">
      <c r="D80" s="0" t="str">
        <f aca="false">IF($A80="","",IF($K$1="All sites",COUNTIFS('User flow template'!$B$2:$B$1000,$A80),COUNTIFS('User flow template'!$B$2:$B$1000,$A80,'User flow template'!$D$2:$D$1000,$K$1)+COUNTIFS('User flow template'!$B$2:$B$1000,$A80,'User flow template'!$D$2:$D$1000,"All sites")))</f>
        <v/>
      </c>
      <c r="E80" s="49" t="str">
        <f aca="false">IF($A80="","",IF($K$1="All sites",COUNTIFS('User flow template'!$B$2:$B$1000,$A80,'User flow template'!$L$2:$L$1000,"Pass"),COUNTIFS('User flow template'!$B$2:$B$1000,$A80,'User flow template'!$L$2:$L$1000,"Pass",'User flow template'!$D$2:$D$1000,$K$1)+COUNTIFS('User flow template'!$B$2:$B$1000,$A80,'User flow template'!$L$2:$L$1000,"Pass",'User flow template'!$D$2:$D$1000,"All sites")))</f>
        <v/>
      </c>
      <c r="F80" s="0" t="str">
        <f aca="false">IF($A80="","",IF($K$1="All sites",COUNTIFS('User flow template'!$B$2:$B$1000,$A80,'User flow template'!$L$2:$L$1000,"Fail"),COUNTIFS('User flow template'!$B$2:$B$1000,$A80,'User flow template'!$L$2:$L$1000,"Fail",'User flow template'!$D$2:$D$1000,$K$1)+COUNTIFS('User flow template'!$B$2:$B$1000,$A80,'User flow template'!$L$2:$L$1000,"Fail",'User flow template'!$D$2:$D$1000,"All sites")))</f>
        <v/>
      </c>
      <c r="G80" s="0" t="str">
        <f aca="false">IF($A80="","",IF($K$1="All sites",COUNTIFS('User flow template'!$B$2:$B$1000,$A80,'User flow template'!$L$2:$L$1000,"Blocked"),COUNTIFS('User flow template'!$B$2:$B$1000,$A80,'User flow template'!$L$2:$L$1000,"Blocked",'User flow template'!$D$2:$D$1000,$K$1)+COUNTIFS('User flow template'!$B$2:$B$1000,$A80,'User flow template'!$L$2:$L$1000,"Blocked",'User flow template'!$D$2:$D$1000,"All sites")))</f>
        <v/>
      </c>
      <c r="H80" s="0" t="str">
        <f aca="false">IF($A80="","",D80-E80-F80-G80)</f>
        <v/>
      </c>
    </row>
    <row r="81" customFormat="false" ht="15" hidden="false" customHeight="false" outlineLevel="0" collapsed="false">
      <c r="D81" s="0" t="str">
        <f aca="false">IF($A81="","",IF($K$1="All sites",COUNTIFS('User flow template'!$B$2:$B$1000,$A81),COUNTIFS('User flow template'!$B$2:$B$1000,$A81,'User flow template'!$D$2:$D$1000,$K$1)+COUNTIFS('User flow template'!$B$2:$B$1000,$A81,'User flow template'!$D$2:$D$1000,"All sites")))</f>
        <v/>
      </c>
      <c r="E81" s="49" t="str">
        <f aca="false">IF($A81="","",IF($K$1="All sites",COUNTIFS('User flow template'!$B$2:$B$1000,$A81,'User flow template'!$L$2:$L$1000,"Pass"),COUNTIFS('User flow template'!$B$2:$B$1000,$A81,'User flow template'!$L$2:$L$1000,"Pass",'User flow template'!$D$2:$D$1000,$K$1)+COUNTIFS('User flow template'!$B$2:$B$1000,$A81,'User flow template'!$L$2:$L$1000,"Pass",'User flow template'!$D$2:$D$1000,"All sites")))</f>
        <v/>
      </c>
      <c r="F81" s="0" t="str">
        <f aca="false">IF($A81="","",IF($K$1="All sites",COUNTIFS('User flow template'!$B$2:$B$1000,$A81,'User flow template'!$L$2:$L$1000,"Fail"),COUNTIFS('User flow template'!$B$2:$B$1000,$A81,'User flow template'!$L$2:$L$1000,"Fail",'User flow template'!$D$2:$D$1000,$K$1)+COUNTIFS('User flow template'!$B$2:$B$1000,$A81,'User flow template'!$L$2:$L$1000,"Fail",'User flow template'!$D$2:$D$1000,"All sites")))</f>
        <v/>
      </c>
      <c r="G81" s="0" t="str">
        <f aca="false">IF($A81="","",IF($K$1="All sites",COUNTIFS('User flow template'!$B$2:$B$1000,$A81,'User flow template'!$L$2:$L$1000,"Blocked"),COUNTIFS('User flow template'!$B$2:$B$1000,$A81,'User flow template'!$L$2:$L$1000,"Blocked",'User flow template'!$D$2:$D$1000,$K$1)+COUNTIFS('User flow template'!$B$2:$B$1000,$A81,'User flow template'!$L$2:$L$1000,"Blocked",'User flow template'!$D$2:$D$1000,"All sites")))</f>
        <v/>
      </c>
      <c r="H81" s="0" t="str">
        <f aca="false">IF($A81="","",D81-E81-F81-G81)</f>
        <v/>
      </c>
    </row>
    <row r="82" customFormat="false" ht="15" hidden="false" customHeight="false" outlineLevel="0" collapsed="false">
      <c r="D82" s="0" t="str">
        <f aca="false">IF($A82="","",IF($K$1="All sites",COUNTIFS('User flow template'!$B$2:$B$1000,$A82),COUNTIFS('User flow template'!$B$2:$B$1000,$A82,'User flow template'!$D$2:$D$1000,$K$1)+COUNTIFS('User flow template'!$B$2:$B$1000,$A82,'User flow template'!$D$2:$D$1000,"All sites")))</f>
        <v/>
      </c>
      <c r="E82" s="49" t="str">
        <f aca="false">IF($A82="","",IF($K$1="All sites",COUNTIFS('User flow template'!$B$2:$B$1000,$A82,'User flow template'!$L$2:$L$1000,"Pass"),COUNTIFS('User flow template'!$B$2:$B$1000,$A82,'User flow template'!$L$2:$L$1000,"Pass",'User flow template'!$D$2:$D$1000,$K$1)+COUNTIFS('User flow template'!$B$2:$B$1000,$A82,'User flow template'!$L$2:$L$1000,"Pass",'User flow template'!$D$2:$D$1000,"All sites")))</f>
        <v/>
      </c>
      <c r="F82" s="0" t="str">
        <f aca="false">IF($A82="","",IF($K$1="All sites",COUNTIFS('User flow template'!$B$2:$B$1000,$A82,'User flow template'!$L$2:$L$1000,"Fail"),COUNTIFS('User flow template'!$B$2:$B$1000,$A82,'User flow template'!$L$2:$L$1000,"Fail",'User flow template'!$D$2:$D$1000,$K$1)+COUNTIFS('User flow template'!$B$2:$B$1000,$A82,'User flow template'!$L$2:$L$1000,"Fail",'User flow template'!$D$2:$D$1000,"All sites")))</f>
        <v/>
      </c>
      <c r="G82" s="0" t="str">
        <f aca="false">IF($A82="","",IF($K$1="All sites",COUNTIFS('User flow template'!$B$2:$B$1000,$A82,'User flow template'!$L$2:$L$1000,"Blocked"),COUNTIFS('User flow template'!$B$2:$B$1000,$A82,'User flow template'!$L$2:$L$1000,"Blocked",'User flow template'!$D$2:$D$1000,$K$1)+COUNTIFS('User flow template'!$B$2:$B$1000,$A82,'User flow template'!$L$2:$L$1000,"Blocked",'User flow template'!$D$2:$D$1000,"All sites")))</f>
        <v/>
      </c>
      <c r="H82" s="0" t="str">
        <f aca="false">IF($A82="","",D82-E82-F82-G82)</f>
        <v/>
      </c>
    </row>
    <row r="83" customFormat="false" ht="15" hidden="false" customHeight="false" outlineLevel="0" collapsed="false">
      <c r="D83" s="0" t="str">
        <f aca="false">IF($A83="","",IF($K$1="All sites",COUNTIFS('User flow template'!$B$2:$B$1000,$A83),COUNTIFS('User flow template'!$B$2:$B$1000,$A83,'User flow template'!$D$2:$D$1000,$K$1)+COUNTIFS('User flow template'!$B$2:$B$1000,$A83,'User flow template'!$D$2:$D$1000,"All sites")))</f>
        <v/>
      </c>
      <c r="E83" s="49" t="str">
        <f aca="false">IF($A83="","",IF($K$1="All sites",COUNTIFS('User flow template'!$B$2:$B$1000,$A83,'User flow template'!$L$2:$L$1000,"Pass"),COUNTIFS('User flow template'!$B$2:$B$1000,$A83,'User flow template'!$L$2:$L$1000,"Pass",'User flow template'!$D$2:$D$1000,$K$1)+COUNTIFS('User flow template'!$B$2:$B$1000,$A83,'User flow template'!$L$2:$L$1000,"Pass",'User flow template'!$D$2:$D$1000,"All sites")))</f>
        <v/>
      </c>
      <c r="F83" s="0" t="str">
        <f aca="false">IF($A83="","",IF($K$1="All sites",COUNTIFS('User flow template'!$B$2:$B$1000,$A83,'User flow template'!$L$2:$L$1000,"Fail"),COUNTIFS('User flow template'!$B$2:$B$1000,$A83,'User flow template'!$L$2:$L$1000,"Fail",'User flow template'!$D$2:$D$1000,$K$1)+COUNTIFS('User flow template'!$B$2:$B$1000,$A83,'User flow template'!$L$2:$L$1000,"Fail",'User flow template'!$D$2:$D$1000,"All sites")))</f>
        <v/>
      </c>
      <c r="G83" s="0" t="str">
        <f aca="false">IF($A83="","",IF($K$1="All sites",COUNTIFS('User flow template'!$B$2:$B$1000,$A83,'User flow template'!$L$2:$L$1000,"Blocked"),COUNTIFS('User flow template'!$B$2:$B$1000,$A83,'User flow template'!$L$2:$L$1000,"Blocked",'User flow template'!$D$2:$D$1000,$K$1)+COUNTIFS('User flow template'!$B$2:$B$1000,$A83,'User flow template'!$L$2:$L$1000,"Blocked",'User flow template'!$D$2:$D$1000,"All sites")))</f>
        <v/>
      </c>
      <c r="H83" s="0" t="str">
        <f aca="false">IF($A83="","",D83-E83-F83-G83)</f>
        <v/>
      </c>
    </row>
    <row r="84" customFormat="false" ht="15" hidden="false" customHeight="false" outlineLevel="0" collapsed="false">
      <c r="D84" s="0" t="str">
        <f aca="false">IF($A84="","",IF($K$1="All sites",COUNTIFS('User flow template'!$B$2:$B$1000,$A84),COUNTIFS('User flow template'!$B$2:$B$1000,$A84,'User flow template'!$D$2:$D$1000,$K$1)+COUNTIFS('User flow template'!$B$2:$B$1000,$A84,'User flow template'!$D$2:$D$1000,"All sites")))</f>
        <v/>
      </c>
      <c r="E84" s="49" t="str">
        <f aca="false">IF($A84="","",IF($K$1="All sites",COUNTIFS('User flow template'!$B$2:$B$1000,$A84,'User flow template'!$L$2:$L$1000,"Pass"),COUNTIFS('User flow template'!$B$2:$B$1000,$A84,'User flow template'!$L$2:$L$1000,"Pass",'User flow template'!$D$2:$D$1000,$K$1)+COUNTIFS('User flow template'!$B$2:$B$1000,$A84,'User flow template'!$L$2:$L$1000,"Pass",'User flow template'!$D$2:$D$1000,"All sites")))</f>
        <v/>
      </c>
      <c r="F84" s="0" t="str">
        <f aca="false">IF($A84="","",IF($K$1="All sites",COUNTIFS('User flow template'!$B$2:$B$1000,$A84,'User flow template'!$L$2:$L$1000,"Fail"),COUNTIFS('User flow template'!$B$2:$B$1000,$A84,'User flow template'!$L$2:$L$1000,"Fail",'User flow template'!$D$2:$D$1000,$K$1)+COUNTIFS('User flow template'!$B$2:$B$1000,$A84,'User flow template'!$L$2:$L$1000,"Fail",'User flow template'!$D$2:$D$1000,"All sites")))</f>
        <v/>
      </c>
      <c r="G84" s="0" t="str">
        <f aca="false">IF($A84="","",IF($K$1="All sites",COUNTIFS('User flow template'!$B$2:$B$1000,$A84,'User flow template'!$L$2:$L$1000,"Blocked"),COUNTIFS('User flow template'!$B$2:$B$1000,$A84,'User flow template'!$L$2:$L$1000,"Blocked",'User flow template'!$D$2:$D$1000,$K$1)+COUNTIFS('User flow template'!$B$2:$B$1000,$A84,'User flow template'!$L$2:$L$1000,"Blocked",'User flow template'!$D$2:$D$1000,"All sites")))</f>
        <v/>
      </c>
      <c r="H84" s="0" t="str">
        <f aca="false">IF($A84="","",D84-E84-F84-G84)</f>
        <v/>
      </c>
    </row>
    <row r="85" customFormat="false" ht="15" hidden="false" customHeight="false" outlineLevel="0" collapsed="false">
      <c r="D85" s="0" t="str">
        <f aca="false">IF($A85="","",IF($K$1="All sites",COUNTIFS('User flow template'!$B$2:$B$1000,$A85),COUNTIFS('User flow template'!$B$2:$B$1000,$A85,'User flow template'!$D$2:$D$1000,$K$1)+COUNTIFS('User flow template'!$B$2:$B$1000,$A85,'User flow template'!$D$2:$D$1000,"All sites")))</f>
        <v/>
      </c>
      <c r="E85" s="49" t="str">
        <f aca="false">IF($A85="","",IF($K$1="All sites",COUNTIFS('User flow template'!$B$2:$B$1000,$A85,'User flow template'!$L$2:$L$1000,"Pass"),COUNTIFS('User flow template'!$B$2:$B$1000,$A85,'User flow template'!$L$2:$L$1000,"Pass",'User flow template'!$D$2:$D$1000,$K$1)+COUNTIFS('User flow template'!$B$2:$B$1000,$A85,'User flow template'!$L$2:$L$1000,"Pass",'User flow template'!$D$2:$D$1000,"All sites")))</f>
        <v/>
      </c>
      <c r="F85" s="0" t="str">
        <f aca="false">IF($A85="","",IF($K$1="All sites",COUNTIFS('User flow template'!$B$2:$B$1000,$A85,'User flow template'!$L$2:$L$1000,"Fail"),COUNTIFS('User flow template'!$B$2:$B$1000,$A85,'User flow template'!$L$2:$L$1000,"Fail",'User flow template'!$D$2:$D$1000,$K$1)+COUNTIFS('User flow template'!$B$2:$B$1000,$A85,'User flow template'!$L$2:$L$1000,"Fail",'User flow template'!$D$2:$D$1000,"All sites")))</f>
        <v/>
      </c>
      <c r="G85" s="0" t="str">
        <f aca="false">IF($A85="","",IF($K$1="All sites",COUNTIFS('User flow template'!$B$2:$B$1000,$A85,'User flow template'!$L$2:$L$1000,"Blocked"),COUNTIFS('User flow template'!$B$2:$B$1000,$A85,'User flow template'!$L$2:$L$1000,"Blocked",'User flow template'!$D$2:$D$1000,$K$1)+COUNTIFS('User flow template'!$B$2:$B$1000,$A85,'User flow template'!$L$2:$L$1000,"Blocked",'User flow template'!$D$2:$D$1000,"All sites")))</f>
        <v/>
      </c>
      <c r="H85" s="0" t="str">
        <f aca="false">IF($A85="","",D85-E85-F85-G85)</f>
        <v/>
      </c>
    </row>
    <row r="86" customFormat="false" ht="15" hidden="false" customHeight="false" outlineLevel="0" collapsed="false">
      <c r="D86" s="0" t="str">
        <f aca="false">IF($A86="","",IF($K$1="All sites",COUNTIFS('User flow template'!$B$2:$B$1000,$A86),COUNTIFS('User flow template'!$B$2:$B$1000,$A86,'User flow template'!$D$2:$D$1000,$K$1)+COUNTIFS('User flow template'!$B$2:$B$1000,$A86,'User flow template'!$D$2:$D$1000,"All sites")))</f>
        <v/>
      </c>
      <c r="E86" s="49" t="str">
        <f aca="false">IF($A86="","",IF($K$1="All sites",COUNTIFS('User flow template'!$B$2:$B$1000,$A86,'User flow template'!$L$2:$L$1000,"Pass"),COUNTIFS('User flow template'!$B$2:$B$1000,$A86,'User flow template'!$L$2:$L$1000,"Pass",'User flow template'!$D$2:$D$1000,$K$1)+COUNTIFS('User flow template'!$B$2:$B$1000,$A86,'User flow template'!$L$2:$L$1000,"Pass",'User flow template'!$D$2:$D$1000,"All sites")))</f>
        <v/>
      </c>
      <c r="F86" s="0" t="str">
        <f aca="false">IF($A86="","",IF($K$1="All sites",COUNTIFS('User flow template'!$B$2:$B$1000,$A86,'User flow template'!$L$2:$L$1000,"Fail"),COUNTIFS('User flow template'!$B$2:$B$1000,$A86,'User flow template'!$L$2:$L$1000,"Fail",'User flow template'!$D$2:$D$1000,$K$1)+COUNTIFS('User flow template'!$B$2:$B$1000,$A86,'User flow template'!$L$2:$L$1000,"Fail",'User flow template'!$D$2:$D$1000,"All sites")))</f>
        <v/>
      </c>
      <c r="G86" s="0" t="str">
        <f aca="false">IF($A86="","",IF($K$1="All sites",COUNTIFS('User flow template'!$B$2:$B$1000,$A86,'User flow template'!$L$2:$L$1000,"Blocked"),COUNTIFS('User flow template'!$B$2:$B$1000,$A86,'User flow template'!$L$2:$L$1000,"Blocked",'User flow template'!$D$2:$D$1000,$K$1)+COUNTIFS('User flow template'!$B$2:$B$1000,$A86,'User flow template'!$L$2:$L$1000,"Blocked",'User flow template'!$D$2:$D$1000,"All sites")))</f>
        <v/>
      </c>
      <c r="H86" s="0" t="str">
        <f aca="false">IF($A86="","",D86-E86-F86-G86)</f>
        <v/>
      </c>
    </row>
    <row r="87" customFormat="false" ht="15" hidden="false" customHeight="false" outlineLevel="0" collapsed="false">
      <c r="D87" s="0" t="str">
        <f aca="false">IF($A87="","",IF($K$1="All sites",COUNTIFS('User flow template'!$B$2:$B$1000,$A87),COUNTIFS('User flow template'!$B$2:$B$1000,$A87,'User flow template'!$D$2:$D$1000,$K$1)+COUNTIFS('User flow template'!$B$2:$B$1000,$A87,'User flow template'!$D$2:$D$1000,"All sites")))</f>
        <v/>
      </c>
      <c r="E87" s="49" t="str">
        <f aca="false">IF($A87="","",IF($K$1="All sites",COUNTIFS('User flow template'!$B$2:$B$1000,$A87,'User flow template'!$L$2:$L$1000,"Pass"),COUNTIFS('User flow template'!$B$2:$B$1000,$A87,'User flow template'!$L$2:$L$1000,"Pass",'User flow template'!$D$2:$D$1000,$K$1)+COUNTIFS('User flow template'!$B$2:$B$1000,$A87,'User flow template'!$L$2:$L$1000,"Pass",'User flow template'!$D$2:$D$1000,"All sites")))</f>
        <v/>
      </c>
      <c r="F87" s="0" t="str">
        <f aca="false">IF($A87="","",IF($K$1="All sites",COUNTIFS('User flow template'!$B$2:$B$1000,$A87,'User flow template'!$L$2:$L$1000,"Fail"),COUNTIFS('User flow template'!$B$2:$B$1000,$A87,'User flow template'!$L$2:$L$1000,"Fail",'User flow template'!$D$2:$D$1000,$K$1)+COUNTIFS('User flow template'!$B$2:$B$1000,$A87,'User flow template'!$L$2:$L$1000,"Fail",'User flow template'!$D$2:$D$1000,"All sites")))</f>
        <v/>
      </c>
      <c r="G87" s="0" t="str">
        <f aca="false">IF($A87="","",IF($K$1="All sites",COUNTIFS('User flow template'!$B$2:$B$1000,$A87,'User flow template'!$L$2:$L$1000,"Blocked"),COUNTIFS('User flow template'!$B$2:$B$1000,$A87,'User flow template'!$L$2:$L$1000,"Blocked",'User flow template'!$D$2:$D$1000,$K$1)+COUNTIFS('User flow template'!$B$2:$B$1000,$A87,'User flow template'!$L$2:$L$1000,"Blocked",'User flow template'!$D$2:$D$1000,"All sites")))</f>
        <v/>
      </c>
      <c r="H87" s="0" t="str">
        <f aca="false">IF($A87="","",D87-E87-F87-G87)</f>
        <v/>
      </c>
    </row>
    <row r="88" customFormat="false" ht="15" hidden="false" customHeight="false" outlineLevel="0" collapsed="false">
      <c r="D88" s="0" t="str">
        <f aca="false">IF($A88="","",IF($K$1="All sites",COUNTIFS('User flow template'!$B$2:$B$1000,$A88),COUNTIFS('User flow template'!$B$2:$B$1000,$A88,'User flow template'!$D$2:$D$1000,$K$1)+COUNTIFS('User flow template'!$B$2:$B$1000,$A88,'User flow template'!$D$2:$D$1000,"All sites")))</f>
        <v/>
      </c>
      <c r="E88" s="49" t="str">
        <f aca="false">IF($A88="","",IF($K$1="All sites",COUNTIFS('User flow template'!$B$2:$B$1000,$A88,'User flow template'!$L$2:$L$1000,"Pass"),COUNTIFS('User flow template'!$B$2:$B$1000,$A88,'User flow template'!$L$2:$L$1000,"Pass",'User flow template'!$D$2:$D$1000,$K$1)+COUNTIFS('User flow template'!$B$2:$B$1000,$A88,'User flow template'!$L$2:$L$1000,"Pass",'User flow template'!$D$2:$D$1000,"All sites")))</f>
        <v/>
      </c>
      <c r="F88" s="0" t="str">
        <f aca="false">IF($A88="","",IF($K$1="All sites",COUNTIFS('User flow template'!$B$2:$B$1000,$A88,'User flow template'!$L$2:$L$1000,"Fail"),COUNTIFS('User flow template'!$B$2:$B$1000,$A88,'User flow template'!$L$2:$L$1000,"Fail",'User flow template'!$D$2:$D$1000,$K$1)+COUNTIFS('User flow template'!$B$2:$B$1000,$A88,'User flow template'!$L$2:$L$1000,"Fail",'User flow template'!$D$2:$D$1000,"All sites")))</f>
        <v/>
      </c>
      <c r="G88" s="0" t="str">
        <f aca="false">IF($A88="","",IF($K$1="All sites",COUNTIFS('User flow template'!$B$2:$B$1000,$A88,'User flow template'!$L$2:$L$1000,"Blocked"),COUNTIFS('User flow template'!$B$2:$B$1000,$A88,'User flow template'!$L$2:$L$1000,"Blocked",'User flow template'!$D$2:$D$1000,$K$1)+COUNTIFS('User flow template'!$B$2:$B$1000,$A88,'User flow template'!$L$2:$L$1000,"Blocked",'User flow template'!$D$2:$D$1000,"All sites")))</f>
        <v/>
      </c>
      <c r="H88" s="0" t="str">
        <f aca="false">IF($A88="","",D88-E88-F88-G88)</f>
        <v/>
      </c>
    </row>
    <row r="89" customFormat="false" ht="15" hidden="false" customHeight="false" outlineLevel="0" collapsed="false">
      <c r="D89" s="0" t="str">
        <f aca="false">IF($A89="","",IF($K$1="All sites",COUNTIFS('User flow template'!$B$2:$B$1000,$A89),COUNTIFS('User flow template'!$B$2:$B$1000,$A89,'User flow template'!$D$2:$D$1000,$K$1)+COUNTIFS('User flow template'!$B$2:$B$1000,$A89,'User flow template'!$D$2:$D$1000,"All sites")))</f>
        <v/>
      </c>
      <c r="E89" s="49" t="str">
        <f aca="false">IF($A89="","",IF($K$1="All sites",COUNTIFS('User flow template'!$B$2:$B$1000,$A89,'User flow template'!$L$2:$L$1000,"Pass"),COUNTIFS('User flow template'!$B$2:$B$1000,$A89,'User flow template'!$L$2:$L$1000,"Pass",'User flow template'!$D$2:$D$1000,$K$1)+COUNTIFS('User flow template'!$B$2:$B$1000,$A89,'User flow template'!$L$2:$L$1000,"Pass",'User flow template'!$D$2:$D$1000,"All sites")))</f>
        <v/>
      </c>
      <c r="F89" s="0" t="str">
        <f aca="false">IF($A89="","",IF($K$1="All sites",COUNTIFS('User flow template'!$B$2:$B$1000,$A89,'User flow template'!$L$2:$L$1000,"Fail"),COUNTIFS('User flow template'!$B$2:$B$1000,$A89,'User flow template'!$L$2:$L$1000,"Fail",'User flow template'!$D$2:$D$1000,$K$1)+COUNTIFS('User flow template'!$B$2:$B$1000,$A89,'User flow template'!$L$2:$L$1000,"Fail",'User flow template'!$D$2:$D$1000,"All sites")))</f>
        <v/>
      </c>
      <c r="G89" s="0" t="str">
        <f aca="false">IF($A89="","",IF($K$1="All sites",COUNTIFS('User flow template'!$B$2:$B$1000,$A89,'User flow template'!$L$2:$L$1000,"Blocked"),COUNTIFS('User flow template'!$B$2:$B$1000,$A89,'User flow template'!$L$2:$L$1000,"Blocked",'User flow template'!$D$2:$D$1000,$K$1)+COUNTIFS('User flow template'!$B$2:$B$1000,$A89,'User flow template'!$L$2:$L$1000,"Blocked",'User flow template'!$D$2:$D$1000,"All sites")))</f>
        <v/>
      </c>
      <c r="H89" s="0" t="str">
        <f aca="false">IF($A89="","",D89-E89-F89-G89)</f>
        <v/>
      </c>
    </row>
    <row r="90" customFormat="false" ht="15" hidden="false" customHeight="false" outlineLevel="0" collapsed="false">
      <c r="D90" s="0" t="str">
        <f aca="false">IF($A90="","",IF($K$1="All sites",COUNTIFS('User flow template'!$B$2:$B$1000,$A90),COUNTIFS('User flow template'!$B$2:$B$1000,$A90,'User flow template'!$D$2:$D$1000,$K$1)+COUNTIFS('User flow template'!$B$2:$B$1000,$A90,'User flow template'!$D$2:$D$1000,"All sites")))</f>
        <v/>
      </c>
      <c r="E90" s="49" t="str">
        <f aca="false">IF($A90="","",IF($K$1="All sites",COUNTIFS('User flow template'!$B$2:$B$1000,$A90,'User flow template'!$L$2:$L$1000,"Pass"),COUNTIFS('User flow template'!$B$2:$B$1000,$A90,'User flow template'!$L$2:$L$1000,"Pass",'User flow template'!$D$2:$D$1000,$K$1)+COUNTIFS('User flow template'!$B$2:$B$1000,$A90,'User flow template'!$L$2:$L$1000,"Pass",'User flow template'!$D$2:$D$1000,"All sites")))</f>
        <v/>
      </c>
      <c r="F90" s="0" t="str">
        <f aca="false">IF($A90="","",IF($K$1="All sites",COUNTIFS('User flow template'!$B$2:$B$1000,$A90,'User flow template'!$L$2:$L$1000,"Fail"),COUNTIFS('User flow template'!$B$2:$B$1000,$A90,'User flow template'!$L$2:$L$1000,"Fail",'User flow template'!$D$2:$D$1000,$K$1)+COUNTIFS('User flow template'!$B$2:$B$1000,$A90,'User flow template'!$L$2:$L$1000,"Fail",'User flow template'!$D$2:$D$1000,"All sites")))</f>
        <v/>
      </c>
      <c r="G90" s="0" t="str">
        <f aca="false">IF($A90="","",IF($K$1="All sites",COUNTIFS('User flow template'!$B$2:$B$1000,$A90,'User flow template'!$L$2:$L$1000,"Blocked"),COUNTIFS('User flow template'!$B$2:$B$1000,$A90,'User flow template'!$L$2:$L$1000,"Blocked",'User flow template'!$D$2:$D$1000,$K$1)+COUNTIFS('User flow template'!$B$2:$B$1000,$A90,'User flow template'!$L$2:$L$1000,"Blocked",'User flow template'!$D$2:$D$1000,"All sites")))</f>
        <v/>
      </c>
      <c r="H90" s="0" t="str">
        <f aca="false">IF($A90="","",D90-E90-F90-G90)</f>
        <v/>
      </c>
    </row>
    <row r="91" customFormat="false" ht="15" hidden="false" customHeight="false" outlineLevel="0" collapsed="false">
      <c r="D91" s="0" t="str">
        <f aca="false">IF($A91="","",IF($K$1="All sites",COUNTIFS('User flow template'!$B$2:$B$1000,$A91),COUNTIFS('User flow template'!$B$2:$B$1000,$A91,'User flow template'!$D$2:$D$1000,$K$1)+COUNTIFS('User flow template'!$B$2:$B$1000,$A91,'User flow template'!$D$2:$D$1000,"All sites")))</f>
        <v/>
      </c>
      <c r="E91" s="49" t="str">
        <f aca="false">IF($A91="","",IF($K$1="All sites",COUNTIFS('User flow template'!$B$2:$B$1000,$A91,'User flow template'!$L$2:$L$1000,"Pass"),COUNTIFS('User flow template'!$B$2:$B$1000,$A91,'User flow template'!$L$2:$L$1000,"Pass",'User flow template'!$D$2:$D$1000,$K$1)+COUNTIFS('User flow template'!$B$2:$B$1000,$A91,'User flow template'!$L$2:$L$1000,"Pass",'User flow template'!$D$2:$D$1000,"All sites")))</f>
        <v/>
      </c>
      <c r="F91" s="0" t="str">
        <f aca="false">IF($A91="","",IF($K$1="All sites",COUNTIFS('User flow template'!$B$2:$B$1000,$A91,'User flow template'!$L$2:$L$1000,"Fail"),COUNTIFS('User flow template'!$B$2:$B$1000,$A91,'User flow template'!$L$2:$L$1000,"Fail",'User flow template'!$D$2:$D$1000,$K$1)+COUNTIFS('User flow template'!$B$2:$B$1000,$A91,'User flow template'!$L$2:$L$1000,"Fail",'User flow template'!$D$2:$D$1000,"All sites")))</f>
        <v/>
      </c>
      <c r="G91" s="0" t="str">
        <f aca="false">IF($A91="","",IF($K$1="All sites",COUNTIFS('User flow template'!$B$2:$B$1000,$A91,'User flow template'!$L$2:$L$1000,"Blocked"),COUNTIFS('User flow template'!$B$2:$B$1000,$A91,'User flow template'!$L$2:$L$1000,"Blocked",'User flow template'!$D$2:$D$1000,$K$1)+COUNTIFS('User flow template'!$B$2:$B$1000,$A91,'User flow template'!$L$2:$L$1000,"Blocked",'User flow template'!$D$2:$D$1000,"All sites")))</f>
        <v/>
      </c>
      <c r="H91" s="0" t="str">
        <f aca="false">IF($A91="","",D91-E91-F91-G91)</f>
        <v/>
      </c>
    </row>
    <row r="92" customFormat="false" ht="15" hidden="false" customHeight="false" outlineLevel="0" collapsed="false">
      <c r="D92" s="0" t="str">
        <f aca="false">IF($A92="","",IF($K$1="All sites",COUNTIFS('User flow template'!$B$2:$B$1000,$A92),COUNTIFS('User flow template'!$B$2:$B$1000,$A92,'User flow template'!$D$2:$D$1000,$K$1)+COUNTIFS('User flow template'!$B$2:$B$1000,$A92,'User flow template'!$D$2:$D$1000,"All sites")))</f>
        <v/>
      </c>
      <c r="E92" s="49" t="str">
        <f aca="false">IF($A92="","",IF($K$1="All sites",COUNTIFS('User flow template'!$B$2:$B$1000,$A92,'User flow template'!$L$2:$L$1000,"Pass"),COUNTIFS('User flow template'!$B$2:$B$1000,$A92,'User flow template'!$L$2:$L$1000,"Pass",'User flow template'!$D$2:$D$1000,$K$1)+COUNTIFS('User flow template'!$B$2:$B$1000,$A92,'User flow template'!$L$2:$L$1000,"Pass",'User flow template'!$D$2:$D$1000,"All sites")))</f>
        <v/>
      </c>
      <c r="F92" s="0" t="str">
        <f aca="false">IF($A92="","",IF($K$1="All sites",COUNTIFS('User flow template'!$B$2:$B$1000,$A92,'User flow template'!$L$2:$L$1000,"Fail"),COUNTIFS('User flow template'!$B$2:$B$1000,$A92,'User flow template'!$L$2:$L$1000,"Fail",'User flow template'!$D$2:$D$1000,$K$1)+COUNTIFS('User flow template'!$B$2:$B$1000,$A92,'User flow template'!$L$2:$L$1000,"Fail",'User flow template'!$D$2:$D$1000,"All sites")))</f>
        <v/>
      </c>
      <c r="G92" s="0" t="str">
        <f aca="false">IF($A92="","",IF($K$1="All sites",COUNTIFS('User flow template'!$B$2:$B$1000,$A92,'User flow template'!$L$2:$L$1000,"Blocked"),COUNTIFS('User flow template'!$B$2:$B$1000,$A92,'User flow template'!$L$2:$L$1000,"Blocked",'User flow template'!$D$2:$D$1000,$K$1)+COUNTIFS('User flow template'!$B$2:$B$1000,$A92,'User flow template'!$L$2:$L$1000,"Blocked",'User flow template'!$D$2:$D$1000,"All sites")))</f>
        <v/>
      </c>
      <c r="H92" s="0" t="str">
        <f aca="false">IF($A92="","",D92-E92-F92-G92)</f>
        <v/>
      </c>
    </row>
    <row r="93" customFormat="false" ht="15" hidden="false" customHeight="false" outlineLevel="0" collapsed="false">
      <c r="D93" s="0" t="str">
        <f aca="false">IF($A93="","",IF($K$1="All sites",COUNTIFS('User flow template'!$B$2:$B$1000,$A93),COUNTIFS('User flow template'!$B$2:$B$1000,$A93,'User flow template'!$D$2:$D$1000,$K$1)+COUNTIFS('User flow template'!$B$2:$B$1000,$A93,'User flow template'!$D$2:$D$1000,"All sites")))</f>
        <v/>
      </c>
      <c r="E93" s="49" t="str">
        <f aca="false">IF($A93="","",IF($K$1="All sites",COUNTIFS('User flow template'!$B$2:$B$1000,$A93,'User flow template'!$L$2:$L$1000,"Pass"),COUNTIFS('User flow template'!$B$2:$B$1000,$A93,'User flow template'!$L$2:$L$1000,"Pass",'User flow template'!$D$2:$D$1000,$K$1)+COUNTIFS('User flow template'!$B$2:$B$1000,$A93,'User flow template'!$L$2:$L$1000,"Pass",'User flow template'!$D$2:$D$1000,"All sites")))</f>
        <v/>
      </c>
      <c r="F93" s="0" t="str">
        <f aca="false">IF($A93="","",IF($K$1="All sites",COUNTIFS('User flow template'!$B$2:$B$1000,$A93,'User flow template'!$L$2:$L$1000,"Fail"),COUNTIFS('User flow template'!$B$2:$B$1000,$A93,'User flow template'!$L$2:$L$1000,"Fail",'User flow template'!$D$2:$D$1000,$K$1)+COUNTIFS('User flow template'!$B$2:$B$1000,$A93,'User flow template'!$L$2:$L$1000,"Fail",'User flow template'!$D$2:$D$1000,"All sites")))</f>
        <v/>
      </c>
      <c r="G93" s="0" t="str">
        <f aca="false">IF($A93="","",IF($K$1="All sites",COUNTIFS('User flow template'!$B$2:$B$1000,$A93,'User flow template'!$L$2:$L$1000,"Blocked"),COUNTIFS('User flow template'!$B$2:$B$1000,$A93,'User flow template'!$L$2:$L$1000,"Blocked",'User flow template'!$D$2:$D$1000,$K$1)+COUNTIFS('User flow template'!$B$2:$B$1000,$A93,'User flow template'!$L$2:$L$1000,"Blocked",'User flow template'!$D$2:$D$1000,"All sites")))</f>
        <v/>
      </c>
      <c r="H93" s="0" t="str">
        <f aca="false">IF($A93="","",D93-E93-F93-G93)</f>
        <v/>
      </c>
    </row>
    <row r="94" customFormat="false" ht="15" hidden="false" customHeight="false" outlineLevel="0" collapsed="false">
      <c r="D94" s="0" t="str">
        <f aca="false">IF($A94="","",IF($K$1="All sites",COUNTIFS('User flow template'!$B$2:$B$1000,$A94),COUNTIFS('User flow template'!$B$2:$B$1000,$A94,'User flow template'!$D$2:$D$1000,$K$1)+COUNTIFS('User flow template'!$B$2:$B$1000,$A94,'User flow template'!$D$2:$D$1000,"All sites")))</f>
        <v/>
      </c>
      <c r="E94" s="49" t="str">
        <f aca="false">IF($A94="","",IF($K$1="All sites",COUNTIFS('User flow template'!$B$2:$B$1000,$A94,'User flow template'!$L$2:$L$1000,"Pass"),COUNTIFS('User flow template'!$B$2:$B$1000,$A94,'User flow template'!$L$2:$L$1000,"Pass",'User flow template'!$D$2:$D$1000,$K$1)+COUNTIFS('User flow template'!$B$2:$B$1000,$A94,'User flow template'!$L$2:$L$1000,"Pass",'User flow template'!$D$2:$D$1000,"All sites")))</f>
        <v/>
      </c>
      <c r="F94" s="0" t="str">
        <f aca="false">IF($A94="","",IF($K$1="All sites",COUNTIFS('User flow template'!$B$2:$B$1000,$A94,'User flow template'!$L$2:$L$1000,"Fail"),COUNTIFS('User flow template'!$B$2:$B$1000,$A94,'User flow template'!$L$2:$L$1000,"Fail",'User flow template'!$D$2:$D$1000,$K$1)+COUNTIFS('User flow template'!$B$2:$B$1000,$A94,'User flow template'!$L$2:$L$1000,"Fail",'User flow template'!$D$2:$D$1000,"All sites")))</f>
        <v/>
      </c>
      <c r="G94" s="0" t="str">
        <f aca="false">IF($A94="","",IF($K$1="All sites",COUNTIFS('User flow template'!$B$2:$B$1000,$A94,'User flow template'!$L$2:$L$1000,"Blocked"),COUNTIFS('User flow template'!$B$2:$B$1000,$A94,'User flow template'!$L$2:$L$1000,"Blocked",'User flow template'!$D$2:$D$1000,$K$1)+COUNTIFS('User flow template'!$B$2:$B$1000,$A94,'User flow template'!$L$2:$L$1000,"Blocked",'User flow template'!$D$2:$D$1000,"All sites")))</f>
        <v/>
      </c>
      <c r="H94" s="0" t="str">
        <f aca="false">IF($A94="","",D94-E94-F94-G94)</f>
        <v/>
      </c>
    </row>
    <row r="95" customFormat="false" ht="15" hidden="false" customHeight="false" outlineLevel="0" collapsed="false">
      <c r="D95" s="0" t="str">
        <f aca="false">IF($A95="","",IF($K$1="All sites",COUNTIFS('User flow template'!$B$2:$B$1000,$A95),COUNTIFS('User flow template'!$B$2:$B$1000,$A95,'User flow template'!$D$2:$D$1000,$K$1)+COUNTIFS('User flow template'!$B$2:$B$1000,$A95,'User flow template'!$D$2:$D$1000,"All sites")))</f>
        <v/>
      </c>
      <c r="E95" s="49" t="str">
        <f aca="false">IF($A95="","",IF($K$1="All sites",COUNTIFS('User flow template'!$B$2:$B$1000,$A95,'User flow template'!$L$2:$L$1000,"Pass"),COUNTIFS('User flow template'!$B$2:$B$1000,$A95,'User flow template'!$L$2:$L$1000,"Pass",'User flow template'!$D$2:$D$1000,$K$1)+COUNTIFS('User flow template'!$B$2:$B$1000,$A95,'User flow template'!$L$2:$L$1000,"Pass",'User flow template'!$D$2:$D$1000,"All sites")))</f>
        <v/>
      </c>
      <c r="F95" s="0" t="str">
        <f aca="false">IF($A95="","",IF($K$1="All sites",COUNTIFS('User flow template'!$B$2:$B$1000,$A95,'User flow template'!$L$2:$L$1000,"Fail"),COUNTIFS('User flow template'!$B$2:$B$1000,$A95,'User flow template'!$L$2:$L$1000,"Fail",'User flow template'!$D$2:$D$1000,$K$1)+COUNTIFS('User flow template'!$B$2:$B$1000,$A95,'User flow template'!$L$2:$L$1000,"Fail",'User flow template'!$D$2:$D$1000,"All sites")))</f>
        <v/>
      </c>
      <c r="G95" s="0" t="str">
        <f aca="false">IF($A95="","",IF($K$1="All sites",COUNTIFS('User flow template'!$B$2:$B$1000,$A95,'User flow template'!$L$2:$L$1000,"Blocked"),COUNTIFS('User flow template'!$B$2:$B$1000,$A95,'User flow template'!$L$2:$L$1000,"Blocked",'User flow template'!$D$2:$D$1000,$K$1)+COUNTIFS('User flow template'!$B$2:$B$1000,$A95,'User flow template'!$L$2:$L$1000,"Blocked",'User flow template'!$D$2:$D$1000,"All sites")))</f>
        <v/>
      </c>
      <c r="H95" s="0" t="str">
        <f aca="false">IF($A95="","",D95-E95-F95-G95)</f>
        <v/>
      </c>
    </row>
    <row r="96" customFormat="false" ht="15" hidden="false" customHeight="false" outlineLevel="0" collapsed="false">
      <c r="D96" s="0" t="str">
        <f aca="false">IF($A96="","",IF($K$1="All sites",COUNTIFS('User flow template'!$B$2:$B$1000,$A96),COUNTIFS('User flow template'!$B$2:$B$1000,$A96,'User flow template'!$D$2:$D$1000,$K$1)+COUNTIFS('User flow template'!$B$2:$B$1000,$A96,'User flow template'!$D$2:$D$1000,"All sites")))</f>
        <v/>
      </c>
      <c r="E96" s="49" t="str">
        <f aca="false">IF($A96="","",IF($K$1="All sites",COUNTIFS('User flow template'!$B$2:$B$1000,$A96,'User flow template'!$L$2:$L$1000,"Pass"),COUNTIFS('User flow template'!$B$2:$B$1000,$A96,'User flow template'!$L$2:$L$1000,"Pass",'User flow template'!$D$2:$D$1000,$K$1)+COUNTIFS('User flow template'!$B$2:$B$1000,$A96,'User flow template'!$L$2:$L$1000,"Pass",'User flow template'!$D$2:$D$1000,"All sites")))</f>
        <v/>
      </c>
      <c r="F96" s="0" t="str">
        <f aca="false">IF($A96="","",IF($K$1="All sites",COUNTIFS('User flow template'!$B$2:$B$1000,$A96,'User flow template'!$L$2:$L$1000,"Fail"),COUNTIFS('User flow template'!$B$2:$B$1000,$A96,'User flow template'!$L$2:$L$1000,"Fail",'User flow template'!$D$2:$D$1000,$K$1)+COUNTIFS('User flow template'!$B$2:$B$1000,$A96,'User flow template'!$L$2:$L$1000,"Fail",'User flow template'!$D$2:$D$1000,"All sites")))</f>
        <v/>
      </c>
      <c r="G96" s="0" t="str">
        <f aca="false">IF($A96="","",IF($K$1="All sites",COUNTIFS('User flow template'!$B$2:$B$1000,$A96,'User flow template'!$L$2:$L$1000,"Blocked"),COUNTIFS('User flow template'!$B$2:$B$1000,$A96,'User flow template'!$L$2:$L$1000,"Blocked",'User flow template'!$D$2:$D$1000,$K$1)+COUNTIFS('User flow template'!$B$2:$B$1000,$A96,'User flow template'!$L$2:$L$1000,"Blocked",'User flow template'!$D$2:$D$1000,"All sites")))</f>
        <v/>
      </c>
      <c r="H96" s="0" t="str">
        <f aca="false">IF($A96="","",D96-E96-F96-G96)</f>
        <v/>
      </c>
    </row>
    <row r="97" customFormat="false" ht="15" hidden="false" customHeight="false" outlineLevel="0" collapsed="false">
      <c r="D97" s="0" t="str">
        <f aca="false">IF($A97="","",IF($K$1="All sites",COUNTIFS('User flow template'!$B$2:$B$1000,$A97),COUNTIFS('User flow template'!$B$2:$B$1000,$A97,'User flow template'!$D$2:$D$1000,$K$1)+COUNTIFS('User flow template'!$B$2:$B$1000,$A97,'User flow template'!$D$2:$D$1000,"All sites")))</f>
        <v/>
      </c>
      <c r="E97" s="49" t="str">
        <f aca="false">IF($A97="","",IF($K$1="All sites",COUNTIFS('User flow template'!$B$2:$B$1000,$A97,'User flow template'!$L$2:$L$1000,"Pass"),COUNTIFS('User flow template'!$B$2:$B$1000,$A97,'User flow template'!$L$2:$L$1000,"Pass",'User flow template'!$D$2:$D$1000,$K$1)+COUNTIFS('User flow template'!$B$2:$B$1000,$A97,'User flow template'!$L$2:$L$1000,"Pass",'User flow template'!$D$2:$D$1000,"All sites")))</f>
        <v/>
      </c>
      <c r="F97" s="0" t="str">
        <f aca="false">IF($A97="","",IF($K$1="All sites",COUNTIFS('User flow template'!$B$2:$B$1000,$A97,'User flow template'!$L$2:$L$1000,"Fail"),COUNTIFS('User flow template'!$B$2:$B$1000,$A97,'User flow template'!$L$2:$L$1000,"Fail",'User flow template'!$D$2:$D$1000,$K$1)+COUNTIFS('User flow template'!$B$2:$B$1000,$A97,'User flow template'!$L$2:$L$1000,"Fail",'User flow template'!$D$2:$D$1000,"All sites")))</f>
        <v/>
      </c>
      <c r="G97" s="0" t="str">
        <f aca="false">IF($A97="","",IF($K$1="All sites",COUNTIFS('User flow template'!$B$2:$B$1000,$A97,'User flow template'!$L$2:$L$1000,"Blocked"),COUNTIFS('User flow template'!$B$2:$B$1000,$A97,'User flow template'!$L$2:$L$1000,"Blocked",'User flow template'!$D$2:$D$1000,$K$1)+COUNTIFS('User flow template'!$B$2:$B$1000,$A97,'User flow template'!$L$2:$L$1000,"Blocked",'User flow template'!$D$2:$D$1000,"All sites")))</f>
        <v/>
      </c>
      <c r="H97" s="0" t="str">
        <f aca="false">IF($A97="","",D97-E97-F97-G97)</f>
        <v/>
      </c>
    </row>
    <row r="98" customFormat="false" ht="15" hidden="false" customHeight="false" outlineLevel="0" collapsed="false">
      <c r="D98" s="0" t="str">
        <f aca="false">IF($A98="","",IF($K$1="All sites",COUNTIFS('User flow template'!$B$2:$B$1000,$A98),COUNTIFS('User flow template'!$B$2:$B$1000,$A98,'User flow template'!$D$2:$D$1000,$K$1)+COUNTIFS('User flow template'!$B$2:$B$1000,$A98,'User flow template'!$D$2:$D$1000,"All sites")))</f>
        <v/>
      </c>
      <c r="E98" s="49" t="str">
        <f aca="false">IF($A98="","",IF($K$1="All sites",COUNTIFS('User flow template'!$B$2:$B$1000,$A98,'User flow template'!$L$2:$L$1000,"Pass"),COUNTIFS('User flow template'!$B$2:$B$1000,$A98,'User flow template'!$L$2:$L$1000,"Pass",'User flow template'!$D$2:$D$1000,$K$1)+COUNTIFS('User flow template'!$B$2:$B$1000,$A98,'User flow template'!$L$2:$L$1000,"Pass",'User flow template'!$D$2:$D$1000,"All sites")))</f>
        <v/>
      </c>
      <c r="F98" s="0" t="str">
        <f aca="false">IF($A98="","",IF($K$1="All sites",COUNTIFS('User flow template'!$B$2:$B$1000,$A98,'User flow template'!$L$2:$L$1000,"Fail"),COUNTIFS('User flow template'!$B$2:$B$1000,$A98,'User flow template'!$L$2:$L$1000,"Fail",'User flow template'!$D$2:$D$1000,$K$1)+COUNTIFS('User flow template'!$B$2:$B$1000,$A98,'User flow template'!$L$2:$L$1000,"Fail",'User flow template'!$D$2:$D$1000,"All sites")))</f>
        <v/>
      </c>
      <c r="G98" s="0" t="str">
        <f aca="false">IF($A98="","",IF($K$1="All sites",COUNTIFS('User flow template'!$B$2:$B$1000,$A98,'User flow template'!$L$2:$L$1000,"Blocked"),COUNTIFS('User flow template'!$B$2:$B$1000,$A98,'User flow template'!$L$2:$L$1000,"Blocked",'User flow template'!$D$2:$D$1000,$K$1)+COUNTIFS('User flow template'!$B$2:$B$1000,$A98,'User flow template'!$L$2:$L$1000,"Blocked",'User flow template'!$D$2:$D$1000,"All sites")))</f>
        <v/>
      </c>
      <c r="H98" s="0" t="str">
        <f aca="false">IF($A98="","",D98-E98-F98-G98)</f>
        <v/>
      </c>
    </row>
    <row r="99" customFormat="false" ht="15" hidden="false" customHeight="false" outlineLevel="0" collapsed="false">
      <c r="D99" s="0" t="str">
        <f aca="false">IF($A99="","",IF($K$1="All sites",COUNTIFS('User flow template'!$B$2:$B$1000,$A99),COUNTIFS('User flow template'!$B$2:$B$1000,$A99,'User flow template'!$D$2:$D$1000,$K$1)+COUNTIFS('User flow template'!$B$2:$B$1000,$A99,'User flow template'!$D$2:$D$1000,"All sites")))</f>
        <v/>
      </c>
      <c r="E99" s="49" t="str">
        <f aca="false">IF($A99="","",IF($K$1="All sites",COUNTIFS('User flow template'!$B$2:$B$1000,$A99,'User flow template'!$L$2:$L$1000,"Pass"),COUNTIFS('User flow template'!$B$2:$B$1000,$A99,'User flow template'!$L$2:$L$1000,"Pass",'User flow template'!$D$2:$D$1000,$K$1)+COUNTIFS('User flow template'!$B$2:$B$1000,$A99,'User flow template'!$L$2:$L$1000,"Pass",'User flow template'!$D$2:$D$1000,"All sites")))</f>
        <v/>
      </c>
      <c r="F99" s="0" t="str">
        <f aca="false">IF($A99="","",IF($K$1="All sites",COUNTIFS('User flow template'!$B$2:$B$1000,$A99,'User flow template'!$L$2:$L$1000,"Fail"),COUNTIFS('User flow template'!$B$2:$B$1000,$A99,'User flow template'!$L$2:$L$1000,"Fail",'User flow template'!$D$2:$D$1000,$K$1)+COUNTIFS('User flow template'!$B$2:$B$1000,$A99,'User flow template'!$L$2:$L$1000,"Fail",'User flow template'!$D$2:$D$1000,"All sites")))</f>
        <v/>
      </c>
      <c r="G99" s="0" t="str">
        <f aca="false">IF($A99="","",IF($K$1="All sites",COUNTIFS('User flow template'!$B$2:$B$1000,$A99,'User flow template'!$L$2:$L$1000,"Blocked"),COUNTIFS('User flow template'!$B$2:$B$1000,$A99,'User flow template'!$L$2:$L$1000,"Blocked",'User flow template'!$D$2:$D$1000,$K$1)+COUNTIFS('User flow template'!$B$2:$B$1000,$A99,'User flow template'!$L$2:$L$1000,"Blocked",'User flow template'!$D$2:$D$1000,"All sites")))</f>
        <v/>
      </c>
      <c r="H99" s="0" t="str">
        <f aca="false">IF($A99="","",D99-E99-F99-G99)</f>
        <v/>
      </c>
    </row>
    <row r="100" customFormat="false" ht="15" hidden="false" customHeight="false" outlineLevel="0" collapsed="false">
      <c r="D100" s="0" t="str">
        <f aca="false">IF($A100="","",IF($K$1="All sites",COUNTIFS('User flow template'!$B$2:$B$1000,$A100),COUNTIFS('User flow template'!$B$2:$B$1000,$A100,'User flow template'!$D$2:$D$1000,$K$1)+COUNTIFS('User flow template'!$B$2:$B$1000,$A100,'User flow template'!$D$2:$D$1000,"All sites")))</f>
        <v/>
      </c>
      <c r="E100" s="49" t="str">
        <f aca="false">IF($A100="","",IF($K$1="All sites",COUNTIFS('User flow template'!$B$2:$B$1000,$A100,'User flow template'!$L$2:$L$1000,"Pass"),COUNTIFS('User flow template'!$B$2:$B$1000,$A100,'User flow template'!$L$2:$L$1000,"Pass",'User flow template'!$D$2:$D$1000,$K$1)+COUNTIFS('User flow template'!$B$2:$B$1000,$A100,'User flow template'!$L$2:$L$1000,"Pass",'User flow template'!$D$2:$D$1000,"All sites")))</f>
        <v/>
      </c>
      <c r="F100" s="0" t="str">
        <f aca="false">IF($A100="","",IF($K$1="All sites",COUNTIFS('User flow template'!$B$2:$B$1000,$A100,'User flow template'!$L$2:$L$1000,"Fail"),COUNTIFS('User flow template'!$B$2:$B$1000,$A100,'User flow template'!$L$2:$L$1000,"Fail",'User flow template'!$D$2:$D$1000,$K$1)+COUNTIFS('User flow template'!$B$2:$B$1000,$A100,'User flow template'!$L$2:$L$1000,"Fail",'User flow template'!$D$2:$D$1000,"All sites")))</f>
        <v/>
      </c>
      <c r="G100" s="0" t="str">
        <f aca="false">IF($A100="","",IF($K$1="All sites",COUNTIFS('User flow template'!$B$2:$B$1000,$A100,'User flow template'!$L$2:$L$1000,"Blocked"),COUNTIFS('User flow template'!$B$2:$B$1000,$A100,'User flow template'!$L$2:$L$1000,"Blocked",'User flow template'!$D$2:$D$1000,$K$1)+COUNTIFS('User flow template'!$B$2:$B$1000,$A100,'User flow template'!$L$2:$L$1000,"Blocked",'User flow template'!$D$2:$D$1000,"All sites")))</f>
        <v/>
      </c>
      <c r="H100" s="0" t="str">
        <f aca="false">IF($A100="","",D100-E100-F100-G100)</f>
        <v/>
      </c>
    </row>
    <row r="101" customFormat="false" ht="15" hidden="false" customHeight="false" outlineLevel="0" collapsed="false">
      <c r="D101" s="0" t="str">
        <f aca="false">IF($A101="","",IF($K$1="All sites",COUNTIFS('User flow template'!$B$2:$B$1000,$A101),COUNTIFS('User flow template'!$B$2:$B$1000,$A101,'User flow template'!$D$2:$D$1000,$K$1)+COUNTIFS('User flow template'!$B$2:$B$1000,$A101,'User flow template'!$D$2:$D$1000,"All sites")))</f>
        <v/>
      </c>
      <c r="E101" s="49" t="str">
        <f aca="false">IF($A101="","",IF($K$1="All sites",COUNTIFS('User flow template'!$B$2:$B$1000,$A101,'User flow template'!$L$2:$L$1000,"Pass"),COUNTIFS('User flow template'!$B$2:$B$1000,$A101,'User flow template'!$L$2:$L$1000,"Pass",'User flow template'!$D$2:$D$1000,$K$1)+COUNTIFS('User flow template'!$B$2:$B$1000,$A101,'User flow template'!$L$2:$L$1000,"Pass",'User flow template'!$D$2:$D$1000,"All sites")))</f>
        <v/>
      </c>
      <c r="F101" s="0" t="str">
        <f aca="false">IF($A101="","",IF($K$1="All sites",COUNTIFS('User flow template'!$B$2:$B$1000,$A101,'User flow template'!$L$2:$L$1000,"Fail"),COUNTIFS('User flow template'!$B$2:$B$1000,$A101,'User flow template'!$L$2:$L$1000,"Fail",'User flow template'!$D$2:$D$1000,$K$1)+COUNTIFS('User flow template'!$B$2:$B$1000,$A101,'User flow template'!$L$2:$L$1000,"Fail",'User flow template'!$D$2:$D$1000,"All sites")))</f>
        <v/>
      </c>
      <c r="G101" s="0" t="str">
        <f aca="false">IF($A101="","",IF($K$1="All sites",COUNTIFS('User flow template'!$B$2:$B$1000,$A101,'User flow template'!$L$2:$L$1000,"Blocked"),COUNTIFS('User flow template'!$B$2:$B$1000,$A101,'User flow template'!$L$2:$L$1000,"Blocked",'User flow template'!$D$2:$D$1000,$K$1)+COUNTIFS('User flow template'!$B$2:$B$1000,$A101,'User flow template'!$L$2:$L$1000,"Blocked",'User flow template'!$D$2:$D$1000,"All sites")))</f>
        <v/>
      </c>
      <c r="H101" s="0" t="str">
        <f aca="false">IF($A101="","",D101-E101-F101-G101)</f>
        <v/>
      </c>
    </row>
    <row r="102" customFormat="false" ht="15" hidden="false" customHeight="false" outlineLevel="0" collapsed="false">
      <c r="D102" s="0" t="str">
        <f aca="false">IF($A102="","",IF($K$1="All sites",COUNTIFS('User flow template'!$B$2:$B$1000,$A102),COUNTIFS('User flow template'!$B$2:$B$1000,$A102,'User flow template'!$D$2:$D$1000,$K$1)+COUNTIFS('User flow template'!$B$2:$B$1000,$A102,'User flow template'!$D$2:$D$1000,"All sites")))</f>
        <v/>
      </c>
      <c r="E102" s="49" t="str">
        <f aca="false">IF($A102="","",IF($K$1="All sites",COUNTIFS('User flow template'!$B$2:$B$1000,$A102,'User flow template'!$L$2:$L$1000,"Pass"),COUNTIFS('User flow template'!$B$2:$B$1000,$A102,'User flow template'!$L$2:$L$1000,"Pass",'User flow template'!$D$2:$D$1000,$K$1)+COUNTIFS('User flow template'!$B$2:$B$1000,$A102,'User flow template'!$L$2:$L$1000,"Pass",'User flow template'!$D$2:$D$1000,"All sites")))</f>
        <v/>
      </c>
      <c r="F102" s="0" t="str">
        <f aca="false">IF($A102="","",IF($K$1="All sites",COUNTIFS('User flow template'!$B$2:$B$1000,$A102,'User flow template'!$L$2:$L$1000,"Fail"),COUNTIFS('User flow template'!$B$2:$B$1000,$A102,'User flow template'!$L$2:$L$1000,"Fail",'User flow template'!$D$2:$D$1000,$K$1)+COUNTIFS('User flow template'!$B$2:$B$1000,$A102,'User flow template'!$L$2:$L$1000,"Fail",'User flow template'!$D$2:$D$1000,"All sites")))</f>
        <v/>
      </c>
      <c r="G102" s="0" t="str">
        <f aca="false">IF($A102="","",IF($K$1="All sites",COUNTIFS('User flow template'!$B$2:$B$1000,$A102,'User flow template'!$L$2:$L$1000,"Blocked"),COUNTIFS('User flow template'!$B$2:$B$1000,$A102,'User flow template'!$L$2:$L$1000,"Blocked",'User flow template'!$D$2:$D$1000,$K$1)+COUNTIFS('User flow template'!$B$2:$B$1000,$A102,'User flow template'!$L$2:$L$1000,"Blocked",'User flow template'!$D$2:$D$1000,"All sites")))</f>
        <v/>
      </c>
      <c r="H102" s="0" t="str">
        <f aca="false">IF($A102="","",D102-E102-F102-G102)</f>
        <v/>
      </c>
    </row>
    <row r="103" customFormat="false" ht="15" hidden="false" customHeight="false" outlineLevel="0" collapsed="false">
      <c r="D103" s="0" t="str">
        <f aca="false">IF($A103="","",IF($K$1="All sites",COUNTIFS('User flow template'!$B$2:$B$1000,$A103),COUNTIFS('User flow template'!$B$2:$B$1000,$A103,'User flow template'!$D$2:$D$1000,$K$1)+COUNTIFS('User flow template'!$B$2:$B$1000,$A103,'User flow template'!$D$2:$D$1000,"All sites")))</f>
        <v/>
      </c>
      <c r="E103" s="49" t="str">
        <f aca="false">IF($A103="","",IF($K$1="All sites",COUNTIFS('User flow template'!$B$2:$B$1000,$A103,'User flow template'!$L$2:$L$1000,"Pass"),COUNTIFS('User flow template'!$B$2:$B$1000,$A103,'User flow template'!$L$2:$L$1000,"Pass",'User flow template'!$D$2:$D$1000,$K$1)+COUNTIFS('User flow template'!$B$2:$B$1000,$A103,'User flow template'!$L$2:$L$1000,"Pass",'User flow template'!$D$2:$D$1000,"All sites")))</f>
        <v/>
      </c>
      <c r="F103" s="0" t="str">
        <f aca="false">IF($A103="","",IF($K$1="All sites",COUNTIFS('User flow template'!$B$2:$B$1000,$A103,'User flow template'!$L$2:$L$1000,"Fail"),COUNTIFS('User flow template'!$B$2:$B$1000,$A103,'User flow template'!$L$2:$L$1000,"Fail",'User flow template'!$D$2:$D$1000,$K$1)+COUNTIFS('User flow template'!$B$2:$B$1000,$A103,'User flow template'!$L$2:$L$1000,"Fail",'User flow template'!$D$2:$D$1000,"All sites")))</f>
        <v/>
      </c>
      <c r="G103" s="0" t="str">
        <f aca="false">IF($A103="","",IF($K$1="All sites",COUNTIFS('User flow template'!$B$2:$B$1000,$A103,'User flow template'!$L$2:$L$1000,"Blocked"),COUNTIFS('User flow template'!$B$2:$B$1000,$A103,'User flow template'!$L$2:$L$1000,"Blocked",'User flow template'!$D$2:$D$1000,$K$1)+COUNTIFS('User flow template'!$B$2:$B$1000,$A103,'User flow template'!$L$2:$L$1000,"Blocked",'User flow template'!$D$2:$D$1000,"All sites")))</f>
        <v/>
      </c>
      <c r="H103" s="0" t="str">
        <f aca="false">IF($A103="","",D103-E103-F103-G103)</f>
        <v/>
      </c>
    </row>
    <row r="104" customFormat="false" ht="15" hidden="false" customHeight="false" outlineLevel="0" collapsed="false">
      <c r="D104" s="0" t="str">
        <f aca="false">IF($A104="","",IF($K$1="All sites",COUNTIFS('User flow template'!$B$2:$B$1000,$A104),COUNTIFS('User flow template'!$B$2:$B$1000,$A104,'User flow template'!$D$2:$D$1000,$K$1)+COUNTIFS('User flow template'!$B$2:$B$1000,$A104,'User flow template'!$D$2:$D$1000,"All sites")))</f>
        <v/>
      </c>
      <c r="E104" s="49" t="str">
        <f aca="false">IF($A104="","",IF($K$1="All sites",COUNTIFS('User flow template'!$B$2:$B$1000,$A104,'User flow template'!$L$2:$L$1000,"Pass"),COUNTIFS('User flow template'!$B$2:$B$1000,$A104,'User flow template'!$L$2:$L$1000,"Pass",'User flow template'!$D$2:$D$1000,$K$1)+COUNTIFS('User flow template'!$B$2:$B$1000,$A104,'User flow template'!$L$2:$L$1000,"Pass",'User flow template'!$D$2:$D$1000,"All sites")))</f>
        <v/>
      </c>
      <c r="F104" s="0" t="str">
        <f aca="false">IF($A104="","",IF($K$1="All sites",COUNTIFS('User flow template'!$B$2:$B$1000,$A104,'User flow template'!$L$2:$L$1000,"Fail"),COUNTIFS('User flow template'!$B$2:$B$1000,$A104,'User flow template'!$L$2:$L$1000,"Fail",'User flow template'!$D$2:$D$1000,$K$1)+COUNTIFS('User flow template'!$B$2:$B$1000,$A104,'User flow template'!$L$2:$L$1000,"Fail",'User flow template'!$D$2:$D$1000,"All sites")))</f>
        <v/>
      </c>
      <c r="G104" s="0" t="str">
        <f aca="false">IF($A104="","",IF($K$1="All sites",COUNTIFS('User flow template'!$B$2:$B$1000,$A104,'User flow template'!$L$2:$L$1000,"Blocked"),COUNTIFS('User flow template'!$B$2:$B$1000,$A104,'User flow template'!$L$2:$L$1000,"Blocked",'User flow template'!$D$2:$D$1000,$K$1)+COUNTIFS('User flow template'!$B$2:$B$1000,$A104,'User flow template'!$L$2:$L$1000,"Blocked",'User flow template'!$D$2:$D$1000,"All sites")))</f>
        <v/>
      </c>
      <c r="H104" s="0" t="str">
        <f aca="false">IF($A104="","",D104-E104-F104-G104)</f>
        <v/>
      </c>
    </row>
    <row r="105" customFormat="false" ht="15" hidden="false" customHeight="false" outlineLevel="0" collapsed="false">
      <c r="D105" s="0" t="str">
        <f aca="false">IF($A105="","",IF($K$1="All sites",COUNTIFS('User flow template'!$B$2:$B$1000,$A105),COUNTIFS('User flow template'!$B$2:$B$1000,$A105,'User flow template'!$D$2:$D$1000,$K$1)+COUNTIFS('User flow template'!$B$2:$B$1000,$A105,'User flow template'!$D$2:$D$1000,"All sites")))</f>
        <v/>
      </c>
      <c r="E105" s="49" t="str">
        <f aca="false">IF($A105="","",IF($K$1="All sites",COUNTIFS('User flow template'!$B$2:$B$1000,$A105,'User flow template'!$L$2:$L$1000,"Pass"),COUNTIFS('User flow template'!$B$2:$B$1000,$A105,'User flow template'!$L$2:$L$1000,"Pass",'User flow template'!$D$2:$D$1000,$K$1)+COUNTIFS('User flow template'!$B$2:$B$1000,$A105,'User flow template'!$L$2:$L$1000,"Pass",'User flow template'!$D$2:$D$1000,"All sites")))</f>
        <v/>
      </c>
      <c r="F105" s="0" t="str">
        <f aca="false">IF($A105="","",IF($K$1="All sites",COUNTIFS('User flow template'!$B$2:$B$1000,$A105,'User flow template'!$L$2:$L$1000,"Fail"),COUNTIFS('User flow template'!$B$2:$B$1000,$A105,'User flow template'!$L$2:$L$1000,"Fail",'User flow template'!$D$2:$D$1000,$K$1)+COUNTIFS('User flow template'!$B$2:$B$1000,$A105,'User flow template'!$L$2:$L$1000,"Fail",'User flow template'!$D$2:$D$1000,"All sites")))</f>
        <v/>
      </c>
      <c r="G105" s="0" t="str">
        <f aca="false">IF($A105="","",IF($K$1="All sites",COUNTIFS('User flow template'!$B$2:$B$1000,$A105,'User flow template'!$L$2:$L$1000,"Blocked"),COUNTIFS('User flow template'!$B$2:$B$1000,$A105,'User flow template'!$L$2:$L$1000,"Blocked",'User flow template'!$D$2:$D$1000,$K$1)+COUNTIFS('User flow template'!$B$2:$B$1000,$A105,'User flow template'!$L$2:$L$1000,"Blocked",'User flow template'!$D$2:$D$1000,"All sites")))</f>
        <v/>
      </c>
      <c r="H105" s="0" t="str">
        <f aca="false">IF($A105="","",D105-E105-F105-G105)</f>
        <v/>
      </c>
    </row>
    <row r="106" customFormat="false" ht="15" hidden="false" customHeight="false" outlineLevel="0" collapsed="false">
      <c r="D106" s="0" t="str">
        <f aca="false">IF($A106="","",IF($K$1="All sites",COUNTIFS('User flow template'!$B$2:$B$1000,$A106),COUNTIFS('User flow template'!$B$2:$B$1000,$A106,'User flow template'!$D$2:$D$1000,$K$1)+COUNTIFS('User flow template'!$B$2:$B$1000,$A106,'User flow template'!$D$2:$D$1000,"All sites")))</f>
        <v/>
      </c>
      <c r="E106" s="49" t="str">
        <f aca="false">IF($A106="","",IF($K$1="All sites",COUNTIFS('User flow template'!$B$2:$B$1000,$A106,'User flow template'!$L$2:$L$1000,"Pass"),COUNTIFS('User flow template'!$B$2:$B$1000,$A106,'User flow template'!$L$2:$L$1000,"Pass",'User flow template'!$D$2:$D$1000,$K$1)+COUNTIFS('User flow template'!$B$2:$B$1000,$A106,'User flow template'!$L$2:$L$1000,"Pass",'User flow template'!$D$2:$D$1000,"All sites")))</f>
        <v/>
      </c>
      <c r="F106" s="0" t="str">
        <f aca="false">IF($A106="","",IF($K$1="All sites",COUNTIFS('User flow template'!$B$2:$B$1000,$A106,'User flow template'!$L$2:$L$1000,"Fail"),COUNTIFS('User flow template'!$B$2:$B$1000,$A106,'User flow template'!$L$2:$L$1000,"Fail",'User flow template'!$D$2:$D$1000,$K$1)+COUNTIFS('User flow template'!$B$2:$B$1000,$A106,'User flow template'!$L$2:$L$1000,"Fail",'User flow template'!$D$2:$D$1000,"All sites")))</f>
        <v/>
      </c>
      <c r="G106" s="0" t="str">
        <f aca="false">IF($A106="","",IF($K$1="All sites",COUNTIFS('User flow template'!$B$2:$B$1000,$A106,'User flow template'!$L$2:$L$1000,"Blocked"),COUNTIFS('User flow template'!$B$2:$B$1000,$A106,'User flow template'!$L$2:$L$1000,"Blocked",'User flow template'!$D$2:$D$1000,$K$1)+COUNTIFS('User flow template'!$B$2:$B$1000,$A106,'User flow template'!$L$2:$L$1000,"Blocked",'User flow template'!$D$2:$D$1000,"All sites")))</f>
        <v/>
      </c>
      <c r="H106" s="0" t="str">
        <f aca="false">IF($A106="","",D106-E106-F106-G106)</f>
        <v/>
      </c>
    </row>
    <row r="107" customFormat="false" ht="15" hidden="false" customHeight="false" outlineLevel="0" collapsed="false">
      <c r="D107" s="0" t="str">
        <f aca="false">IF($A107="","",IF($K$1="All sites",COUNTIFS('User flow template'!$B$2:$B$1000,$A107),COUNTIFS('User flow template'!$B$2:$B$1000,$A107,'User flow template'!$D$2:$D$1000,$K$1)+COUNTIFS('User flow template'!$B$2:$B$1000,$A107,'User flow template'!$D$2:$D$1000,"All sites")))</f>
        <v/>
      </c>
      <c r="E107" s="49" t="str">
        <f aca="false">IF($A107="","",IF($K$1="All sites",COUNTIFS('User flow template'!$B$2:$B$1000,$A107,'User flow template'!$L$2:$L$1000,"Pass"),COUNTIFS('User flow template'!$B$2:$B$1000,$A107,'User flow template'!$L$2:$L$1000,"Pass",'User flow template'!$D$2:$D$1000,$K$1)+COUNTIFS('User flow template'!$B$2:$B$1000,$A107,'User flow template'!$L$2:$L$1000,"Pass",'User flow template'!$D$2:$D$1000,"All sites")))</f>
        <v/>
      </c>
      <c r="F107" s="0" t="str">
        <f aca="false">IF($A107="","",IF($K$1="All sites",COUNTIFS('User flow template'!$B$2:$B$1000,$A107,'User flow template'!$L$2:$L$1000,"Fail"),COUNTIFS('User flow template'!$B$2:$B$1000,$A107,'User flow template'!$L$2:$L$1000,"Fail",'User flow template'!$D$2:$D$1000,$K$1)+COUNTIFS('User flow template'!$B$2:$B$1000,$A107,'User flow template'!$L$2:$L$1000,"Fail",'User flow template'!$D$2:$D$1000,"All sites")))</f>
        <v/>
      </c>
      <c r="G107" s="0" t="str">
        <f aca="false">IF($A107="","",IF($K$1="All sites",COUNTIFS('User flow template'!$B$2:$B$1000,$A107,'User flow template'!$L$2:$L$1000,"Blocked"),COUNTIFS('User flow template'!$B$2:$B$1000,$A107,'User flow template'!$L$2:$L$1000,"Blocked",'User flow template'!$D$2:$D$1000,$K$1)+COUNTIFS('User flow template'!$B$2:$B$1000,$A107,'User flow template'!$L$2:$L$1000,"Blocked",'User flow template'!$D$2:$D$1000,"All sites")))</f>
        <v/>
      </c>
      <c r="H107" s="0" t="str">
        <f aca="false">IF($A107="","",D107-E107-F107-G107)</f>
        <v/>
      </c>
    </row>
    <row r="108" customFormat="false" ht="15" hidden="false" customHeight="false" outlineLevel="0" collapsed="false">
      <c r="D108" s="0" t="str">
        <f aca="false">IF($A108="","",IF($K$1="All sites",COUNTIFS('User flow template'!$B$2:$B$1000,$A108),COUNTIFS('User flow template'!$B$2:$B$1000,$A108,'User flow template'!$D$2:$D$1000,$K$1)+COUNTIFS('User flow template'!$B$2:$B$1000,$A108,'User flow template'!$D$2:$D$1000,"All sites")))</f>
        <v/>
      </c>
      <c r="E108" s="49" t="str">
        <f aca="false">IF($A108="","",IF($K$1="All sites",COUNTIFS('User flow template'!$B$2:$B$1000,$A108,'User flow template'!$L$2:$L$1000,"Pass"),COUNTIFS('User flow template'!$B$2:$B$1000,$A108,'User flow template'!$L$2:$L$1000,"Pass",'User flow template'!$D$2:$D$1000,$K$1)+COUNTIFS('User flow template'!$B$2:$B$1000,$A108,'User flow template'!$L$2:$L$1000,"Pass",'User flow template'!$D$2:$D$1000,"All sites")))</f>
        <v/>
      </c>
      <c r="F108" s="0" t="str">
        <f aca="false">IF($A108="","",IF($K$1="All sites",COUNTIFS('User flow template'!$B$2:$B$1000,$A108,'User flow template'!$L$2:$L$1000,"Fail"),COUNTIFS('User flow template'!$B$2:$B$1000,$A108,'User flow template'!$L$2:$L$1000,"Fail",'User flow template'!$D$2:$D$1000,$K$1)+COUNTIFS('User flow template'!$B$2:$B$1000,$A108,'User flow template'!$L$2:$L$1000,"Fail",'User flow template'!$D$2:$D$1000,"All sites")))</f>
        <v/>
      </c>
      <c r="G108" s="0" t="str">
        <f aca="false">IF($A108="","",IF($K$1="All sites",COUNTIFS('User flow template'!$B$2:$B$1000,$A108,'User flow template'!$L$2:$L$1000,"Blocked"),COUNTIFS('User flow template'!$B$2:$B$1000,$A108,'User flow template'!$L$2:$L$1000,"Blocked",'User flow template'!$D$2:$D$1000,$K$1)+COUNTIFS('User flow template'!$B$2:$B$1000,$A108,'User flow template'!$L$2:$L$1000,"Blocked",'User flow template'!$D$2:$D$1000,"All sites")))</f>
        <v/>
      </c>
      <c r="H108" s="0" t="str">
        <f aca="false">IF($A108="","",D108-E108-F108-G108)</f>
        <v/>
      </c>
    </row>
    <row r="109" customFormat="false" ht="15" hidden="false" customHeight="false" outlineLevel="0" collapsed="false">
      <c r="D109" s="0" t="str">
        <f aca="false">IF($A109="","",IF($K$1="All sites",COUNTIFS('User flow template'!$B$2:$B$1000,$A109),COUNTIFS('User flow template'!$B$2:$B$1000,$A109,'User flow template'!$D$2:$D$1000,$K$1)+COUNTIFS('User flow template'!$B$2:$B$1000,$A109,'User flow template'!$D$2:$D$1000,"All sites")))</f>
        <v/>
      </c>
      <c r="E109" s="49" t="str">
        <f aca="false">IF($A109="","",IF($K$1="All sites",COUNTIFS('User flow template'!$B$2:$B$1000,$A109,'User flow template'!$L$2:$L$1000,"Pass"),COUNTIFS('User flow template'!$B$2:$B$1000,$A109,'User flow template'!$L$2:$L$1000,"Pass",'User flow template'!$D$2:$D$1000,$K$1)+COUNTIFS('User flow template'!$B$2:$B$1000,$A109,'User flow template'!$L$2:$L$1000,"Pass",'User flow template'!$D$2:$D$1000,"All sites")))</f>
        <v/>
      </c>
      <c r="F109" s="0" t="str">
        <f aca="false">IF($A109="","",IF($K$1="All sites",COUNTIFS('User flow template'!$B$2:$B$1000,$A109,'User flow template'!$L$2:$L$1000,"Fail"),COUNTIFS('User flow template'!$B$2:$B$1000,$A109,'User flow template'!$L$2:$L$1000,"Fail",'User flow template'!$D$2:$D$1000,$K$1)+COUNTIFS('User flow template'!$B$2:$B$1000,$A109,'User flow template'!$L$2:$L$1000,"Fail",'User flow template'!$D$2:$D$1000,"All sites")))</f>
        <v/>
      </c>
      <c r="G109" s="0" t="str">
        <f aca="false">IF($A109="","",IF($K$1="All sites",COUNTIFS('User flow template'!$B$2:$B$1000,$A109,'User flow template'!$L$2:$L$1000,"Blocked"),COUNTIFS('User flow template'!$B$2:$B$1000,$A109,'User flow template'!$L$2:$L$1000,"Blocked",'User flow template'!$D$2:$D$1000,$K$1)+COUNTIFS('User flow template'!$B$2:$B$1000,$A109,'User flow template'!$L$2:$L$1000,"Blocked",'User flow template'!$D$2:$D$1000,"All sites")))</f>
        <v/>
      </c>
      <c r="H109" s="0" t="str">
        <f aca="false">IF($A109="","",D109-E109-F109-G109)</f>
        <v/>
      </c>
    </row>
    <row r="110" customFormat="false" ht="15" hidden="false" customHeight="false" outlineLevel="0" collapsed="false">
      <c r="D110" s="0" t="str">
        <f aca="false">IF($A110="","",IF($K$1="All sites",COUNTIFS('User flow template'!$B$2:$B$1000,$A110),COUNTIFS('User flow template'!$B$2:$B$1000,$A110,'User flow template'!$D$2:$D$1000,$K$1)+COUNTIFS('User flow template'!$B$2:$B$1000,$A110,'User flow template'!$D$2:$D$1000,"All sites")))</f>
        <v/>
      </c>
      <c r="E110" s="49" t="str">
        <f aca="false">IF($A110="","",IF($K$1="All sites",COUNTIFS('User flow template'!$B$2:$B$1000,$A110,'User flow template'!$L$2:$L$1000,"Pass"),COUNTIFS('User flow template'!$B$2:$B$1000,$A110,'User flow template'!$L$2:$L$1000,"Pass",'User flow template'!$D$2:$D$1000,$K$1)+COUNTIFS('User flow template'!$B$2:$B$1000,$A110,'User flow template'!$L$2:$L$1000,"Pass",'User flow template'!$D$2:$D$1000,"All sites")))</f>
        <v/>
      </c>
      <c r="F110" s="0" t="str">
        <f aca="false">IF($A110="","",IF($K$1="All sites",COUNTIFS('User flow template'!$B$2:$B$1000,$A110,'User flow template'!$L$2:$L$1000,"Fail"),COUNTIFS('User flow template'!$B$2:$B$1000,$A110,'User flow template'!$L$2:$L$1000,"Fail",'User flow template'!$D$2:$D$1000,$K$1)+COUNTIFS('User flow template'!$B$2:$B$1000,$A110,'User flow template'!$L$2:$L$1000,"Fail",'User flow template'!$D$2:$D$1000,"All sites")))</f>
        <v/>
      </c>
      <c r="G110" s="0" t="str">
        <f aca="false">IF($A110="","",IF($K$1="All sites",COUNTIFS('User flow template'!$B$2:$B$1000,$A110,'User flow template'!$L$2:$L$1000,"Blocked"),COUNTIFS('User flow template'!$B$2:$B$1000,$A110,'User flow template'!$L$2:$L$1000,"Blocked",'User flow template'!$D$2:$D$1000,$K$1)+COUNTIFS('User flow template'!$B$2:$B$1000,$A110,'User flow template'!$L$2:$L$1000,"Blocked",'User flow template'!$D$2:$D$1000,"All sites")))</f>
        <v/>
      </c>
      <c r="H110" s="0" t="str">
        <f aca="false">IF($A110="","",D110-E110-F110-G110)</f>
        <v/>
      </c>
    </row>
    <row r="111" customFormat="false" ht="15" hidden="false" customHeight="false" outlineLevel="0" collapsed="false">
      <c r="D111" s="0" t="str">
        <f aca="false">IF($A111="","",IF($K$1="All sites",COUNTIFS('User flow template'!$B$2:$B$1000,$A111),COUNTIFS('User flow template'!$B$2:$B$1000,$A111,'User flow template'!$D$2:$D$1000,$K$1)+COUNTIFS('User flow template'!$B$2:$B$1000,$A111,'User flow template'!$D$2:$D$1000,"All sites")))</f>
        <v/>
      </c>
      <c r="E111" s="49" t="str">
        <f aca="false">IF($A111="","",IF($K$1="All sites",COUNTIFS('User flow template'!$B$2:$B$1000,$A111,'User flow template'!$L$2:$L$1000,"Pass"),COUNTIFS('User flow template'!$B$2:$B$1000,$A111,'User flow template'!$L$2:$L$1000,"Pass",'User flow template'!$D$2:$D$1000,$K$1)+COUNTIFS('User flow template'!$B$2:$B$1000,$A111,'User flow template'!$L$2:$L$1000,"Pass",'User flow template'!$D$2:$D$1000,"All sites")))</f>
        <v/>
      </c>
      <c r="F111" s="0" t="str">
        <f aca="false">IF($A111="","",IF($K$1="All sites",COUNTIFS('User flow template'!$B$2:$B$1000,$A111,'User flow template'!$L$2:$L$1000,"Fail"),COUNTIFS('User flow template'!$B$2:$B$1000,$A111,'User flow template'!$L$2:$L$1000,"Fail",'User flow template'!$D$2:$D$1000,$K$1)+COUNTIFS('User flow template'!$B$2:$B$1000,$A111,'User flow template'!$L$2:$L$1000,"Fail",'User flow template'!$D$2:$D$1000,"All sites")))</f>
        <v/>
      </c>
      <c r="G111" s="0" t="str">
        <f aca="false">IF($A111="","",IF($K$1="All sites",COUNTIFS('User flow template'!$B$2:$B$1000,$A111,'User flow template'!$L$2:$L$1000,"Blocked"),COUNTIFS('User flow template'!$B$2:$B$1000,$A111,'User flow template'!$L$2:$L$1000,"Blocked",'User flow template'!$D$2:$D$1000,$K$1)+COUNTIFS('User flow template'!$B$2:$B$1000,$A111,'User flow template'!$L$2:$L$1000,"Blocked",'User flow template'!$D$2:$D$1000,"All sites")))</f>
        <v/>
      </c>
      <c r="H111" s="0" t="str">
        <f aca="false">IF($A111="","",D111-E111-F111-G111)</f>
        <v/>
      </c>
    </row>
    <row r="112" customFormat="false" ht="15" hidden="false" customHeight="false" outlineLevel="0" collapsed="false">
      <c r="D112" s="0" t="str">
        <f aca="false">IF($A112="","",IF($K$1="All sites",COUNTIFS('User flow template'!$B$2:$B$1000,$A112),COUNTIFS('User flow template'!$B$2:$B$1000,$A112,'User flow template'!$D$2:$D$1000,$K$1)+COUNTIFS('User flow template'!$B$2:$B$1000,$A112,'User flow template'!$D$2:$D$1000,"All sites")))</f>
        <v/>
      </c>
      <c r="E112" s="49" t="str">
        <f aca="false">IF($A112="","",IF($K$1="All sites",COUNTIFS('User flow template'!$B$2:$B$1000,$A112,'User flow template'!$L$2:$L$1000,"Pass"),COUNTIFS('User flow template'!$B$2:$B$1000,$A112,'User flow template'!$L$2:$L$1000,"Pass",'User flow template'!$D$2:$D$1000,$K$1)+COUNTIFS('User flow template'!$B$2:$B$1000,$A112,'User flow template'!$L$2:$L$1000,"Pass",'User flow template'!$D$2:$D$1000,"All sites")))</f>
        <v/>
      </c>
      <c r="F112" s="0" t="str">
        <f aca="false">IF($A112="","",IF($K$1="All sites",COUNTIFS('User flow template'!$B$2:$B$1000,$A112,'User flow template'!$L$2:$L$1000,"Fail"),COUNTIFS('User flow template'!$B$2:$B$1000,$A112,'User flow template'!$L$2:$L$1000,"Fail",'User flow template'!$D$2:$D$1000,$K$1)+COUNTIFS('User flow template'!$B$2:$B$1000,$A112,'User flow template'!$L$2:$L$1000,"Fail",'User flow template'!$D$2:$D$1000,"All sites")))</f>
        <v/>
      </c>
      <c r="G112" s="0" t="str">
        <f aca="false">IF($A112="","",IF($K$1="All sites",COUNTIFS('User flow template'!$B$2:$B$1000,$A112,'User flow template'!$L$2:$L$1000,"Blocked"),COUNTIFS('User flow template'!$B$2:$B$1000,$A112,'User flow template'!$L$2:$L$1000,"Blocked",'User flow template'!$D$2:$D$1000,$K$1)+COUNTIFS('User flow template'!$B$2:$B$1000,$A112,'User flow template'!$L$2:$L$1000,"Blocked",'User flow template'!$D$2:$D$1000,"All sites")))</f>
        <v/>
      </c>
      <c r="H112" s="0" t="str">
        <f aca="false">IF($A112="","",D112-E112-F112-G112)</f>
        <v/>
      </c>
    </row>
    <row r="113" customFormat="false" ht="15" hidden="false" customHeight="false" outlineLevel="0" collapsed="false">
      <c r="D113" s="0" t="str">
        <f aca="false">IF($A113="","",IF($K$1="All sites",COUNTIFS('User flow template'!$B$2:$B$1000,$A113),COUNTIFS('User flow template'!$B$2:$B$1000,$A113,'User flow template'!$D$2:$D$1000,$K$1)+COUNTIFS('User flow template'!$B$2:$B$1000,$A113,'User flow template'!$D$2:$D$1000,"All sites")))</f>
        <v/>
      </c>
      <c r="E113" s="49" t="str">
        <f aca="false">IF($A113="","",IF($K$1="All sites",COUNTIFS('User flow template'!$B$2:$B$1000,$A113,'User flow template'!$L$2:$L$1000,"Pass"),COUNTIFS('User flow template'!$B$2:$B$1000,$A113,'User flow template'!$L$2:$L$1000,"Pass",'User flow template'!$D$2:$D$1000,$K$1)+COUNTIFS('User flow template'!$B$2:$B$1000,$A113,'User flow template'!$L$2:$L$1000,"Pass",'User flow template'!$D$2:$D$1000,"All sites")))</f>
        <v/>
      </c>
      <c r="F113" s="0" t="str">
        <f aca="false">IF($A113="","",IF($K$1="All sites",COUNTIFS('User flow template'!$B$2:$B$1000,$A113,'User flow template'!$L$2:$L$1000,"Fail"),COUNTIFS('User flow template'!$B$2:$B$1000,$A113,'User flow template'!$L$2:$L$1000,"Fail",'User flow template'!$D$2:$D$1000,$K$1)+COUNTIFS('User flow template'!$B$2:$B$1000,$A113,'User flow template'!$L$2:$L$1000,"Fail",'User flow template'!$D$2:$D$1000,"All sites")))</f>
        <v/>
      </c>
      <c r="G113" s="0" t="str">
        <f aca="false">IF($A113="","",IF($K$1="All sites",COUNTIFS('User flow template'!$B$2:$B$1000,$A113,'User flow template'!$L$2:$L$1000,"Blocked"),COUNTIFS('User flow template'!$B$2:$B$1000,$A113,'User flow template'!$L$2:$L$1000,"Blocked",'User flow template'!$D$2:$D$1000,$K$1)+COUNTIFS('User flow template'!$B$2:$B$1000,$A113,'User flow template'!$L$2:$L$1000,"Blocked",'User flow template'!$D$2:$D$1000,"All sites")))</f>
        <v/>
      </c>
      <c r="H113" s="0" t="str">
        <f aca="false">IF($A113="","",D113-E113-F113-G113)</f>
        <v/>
      </c>
    </row>
    <row r="114" customFormat="false" ht="15" hidden="false" customHeight="false" outlineLevel="0" collapsed="false">
      <c r="D114" s="0" t="str">
        <f aca="false">IF($A114="","",IF($K$1="All sites",COUNTIFS('User flow template'!$B$2:$B$1000,$A114),COUNTIFS('User flow template'!$B$2:$B$1000,$A114,'User flow template'!$D$2:$D$1000,$K$1)+COUNTIFS('User flow template'!$B$2:$B$1000,$A114,'User flow template'!$D$2:$D$1000,"All sites")))</f>
        <v/>
      </c>
      <c r="E114" s="49" t="str">
        <f aca="false">IF($A114="","",IF($K$1="All sites",COUNTIFS('User flow template'!$B$2:$B$1000,$A114,'User flow template'!$L$2:$L$1000,"Pass"),COUNTIFS('User flow template'!$B$2:$B$1000,$A114,'User flow template'!$L$2:$L$1000,"Pass",'User flow template'!$D$2:$D$1000,$K$1)+COUNTIFS('User flow template'!$B$2:$B$1000,$A114,'User flow template'!$L$2:$L$1000,"Pass",'User flow template'!$D$2:$D$1000,"All sites")))</f>
        <v/>
      </c>
      <c r="F114" s="0" t="str">
        <f aca="false">IF($A114="","",IF($K$1="All sites",COUNTIFS('User flow template'!$B$2:$B$1000,$A114,'User flow template'!$L$2:$L$1000,"Fail"),COUNTIFS('User flow template'!$B$2:$B$1000,$A114,'User flow template'!$L$2:$L$1000,"Fail",'User flow template'!$D$2:$D$1000,$K$1)+COUNTIFS('User flow template'!$B$2:$B$1000,$A114,'User flow template'!$L$2:$L$1000,"Fail",'User flow template'!$D$2:$D$1000,"All sites")))</f>
        <v/>
      </c>
      <c r="G114" s="0" t="str">
        <f aca="false">IF($A114="","",IF($K$1="All sites",COUNTIFS('User flow template'!$B$2:$B$1000,$A114,'User flow template'!$L$2:$L$1000,"Blocked"),COUNTIFS('User flow template'!$B$2:$B$1000,$A114,'User flow template'!$L$2:$L$1000,"Blocked",'User flow template'!$D$2:$D$1000,$K$1)+COUNTIFS('User flow template'!$B$2:$B$1000,$A114,'User flow template'!$L$2:$L$1000,"Blocked",'User flow template'!$D$2:$D$1000,"All sites")))</f>
        <v/>
      </c>
      <c r="H114" s="0" t="str">
        <f aca="false">IF($A114="","",D114-E114-F114-G114)</f>
        <v/>
      </c>
    </row>
    <row r="115" customFormat="false" ht="15" hidden="false" customHeight="false" outlineLevel="0" collapsed="false">
      <c r="D115" s="0" t="str">
        <f aca="false">IF($A115="","",IF($K$1="All sites",COUNTIFS('User flow template'!$B$2:$B$1000,$A115),COUNTIFS('User flow template'!$B$2:$B$1000,$A115,'User flow template'!$D$2:$D$1000,$K$1)+COUNTIFS('User flow template'!$B$2:$B$1000,$A115,'User flow template'!$D$2:$D$1000,"All sites")))</f>
        <v/>
      </c>
      <c r="E115" s="49" t="str">
        <f aca="false">IF($A115="","",IF($K$1="All sites",COUNTIFS('User flow template'!$B$2:$B$1000,$A115,'User flow template'!$L$2:$L$1000,"Pass"),COUNTIFS('User flow template'!$B$2:$B$1000,$A115,'User flow template'!$L$2:$L$1000,"Pass",'User flow template'!$D$2:$D$1000,$K$1)+COUNTIFS('User flow template'!$B$2:$B$1000,$A115,'User flow template'!$L$2:$L$1000,"Pass",'User flow template'!$D$2:$D$1000,"All sites")))</f>
        <v/>
      </c>
      <c r="F115" s="0" t="str">
        <f aca="false">IF($A115="","",IF($K$1="All sites",COUNTIFS('User flow template'!$B$2:$B$1000,$A115,'User flow template'!$L$2:$L$1000,"Fail"),COUNTIFS('User flow template'!$B$2:$B$1000,$A115,'User flow template'!$L$2:$L$1000,"Fail",'User flow template'!$D$2:$D$1000,$K$1)+COUNTIFS('User flow template'!$B$2:$B$1000,$A115,'User flow template'!$L$2:$L$1000,"Fail",'User flow template'!$D$2:$D$1000,"All sites")))</f>
        <v/>
      </c>
      <c r="G115" s="0" t="str">
        <f aca="false">IF($A115="","",IF($K$1="All sites",COUNTIFS('User flow template'!$B$2:$B$1000,$A115,'User flow template'!$L$2:$L$1000,"Blocked"),COUNTIFS('User flow template'!$B$2:$B$1000,$A115,'User flow template'!$L$2:$L$1000,"Blocked",'User flow template'!$D$2:$D$1000,$K$1)+COUNTIFS('User flow template'!$B$2:$B$1000,$A115,'User flow template'!$L$2:$L$1000,"Blocked",'User flow template'!$D$2:$D$1000,"All sites")))</f>
        <v/>
      </c>
      <c r="H115" s="0" t="str">
        <f aca="false">IF($A115="","",D115-E115-F115-G115)</f>
        <v/>
      </c>
    </row>
    <row r="116" customFormat="false" ht="15" hidden="false" customHeight="false" outlineLevel="0" collapsed="false">
      <c r="D116" s="0" t="str">
        <f aca="false">IF($A116="","",IF($K$1="All sites",COUNTIFS('User flow template'!$B$2:$B$1000,$A116),COUNTIFS('User flow template'!$B$2:$B$1000,$A116,'User flow template'!$D$2:$D$1000,$K$1)+COUNTIFS('User flow template'!$B$2:$B$1000,$A116,'User flow template'!$D$2:$D$1000,"All sites")))</f>
        <v/>
      </c>
      <c r="E116" s="49" t="str">
        <f aca="false">IF($A116="","",IF($K$1="All sites",COUNTIFS('User flow template'!$B$2:$B$1000,$A116,'User flow template'!$L$2:$L$1000,"Pass"),COUNTIFS('User flow template'!$B$2:$B$1000,$A116,'User flow template'!$L$2:$L$1000,"Pass",'User flow template'!$D$2:$D$1000,$K$1)+COUNTIFS('User flow template'!$B$2:$B$1000,$A116,'User flow template'!$L$2:$L$1000,"Pass",'User flow template'!$D$2:$D$1000,"All sites")))</f>
        <v/>
      </c>
      <c r="F116" s="0" t="str">
        <f aca="false">IF($A116="","",IF($K$1="All sites",COUNTIFS('User flow template'!$B$2:$B$1000,$A116,'User flow template'!$L$2:$L$1000,"Fail"),COUNTIFS('User flow template'!$B$2:$B$1000,$A116,'User flow template'!$L$2:$L$1000,"Fail",'User flow template'!$D$2:$D$1000,$K$1)+COUNTIFS('User flow template'!$B$2:$B$1000,$A116,'User flow template'!$L$2:$L$1000,"Fail",'User flow template'!$D$2:$D$1000,"All sites")))</f>
        <v/>
      </c>
      <c r="G116" s="0" t="str">
        <f aca="false">IF($A116="","",IF($K$1="All sites",COUNTIFS('User flow template'!$B$2:$B$1000,$A116,'User flow template'!$L$2:$L$1000,"Blocked"),COUNTIFS('User flow template'!$B$2:$B$1000,$A116,'User flow template'!$L$2:$L$1000,"Blocked",'User flow template'!$D$2:$D$1000,$K$1)+COUNTIFS('User flow template'!$B$2:$B$1000,$A116,'User flow template'!$L$2:$L$1000,"Blocked",'User flow template'!$D$2:$D$1000,"All sites")))</f>
        <v/>
      </c>
      <c r="H116" s="0" t="str">
        <f aca="false">IF($A116="","",D116-E116-F116-G116)</f>
        <v/>
      </c>
    </row>
    <row r="117" customFormat="false" ht="15" hidden="false" customHeight="false" outlineLevel="0" collapsed="false">
      <c r="D117" s="0" t="str">
        <f aca="false">IF($A117="","",IF($K$1="All sites",COUNTIFS('User flow template'!$B$2:$B$1000,$A117),COUNTIFS('User flow template'!$B$2:$B$1000,$A117,'User flow template'!$D$2:$D$1000,$K$1)+COUNTIFS('User flow template'!$B$2:$B$1000,$A117,'User flow template'!$D$2:$D$1000,"All sites")))</f>
        <v/>
      </c>
      <c r="E117" s="49" t="str">
        <f aca="false">IF($A117="","",IF($K$1="All sites",COUNTIFS('User flow template'!$B$2:$B$1000,$A117,'User flow template'!$L$2:$L$1000,"Pass"),COUNTIFS('User flow template'!$B$2:$B$1000,$A117,'User flow template'!$L$2:$L$1000,"Pass",'User flow template'!$D$2:$D$1000,$K$1)+COUNTIFS('User flow template'!$B$2:$B$1000,$A117,'User flow template'!$L$2:$L$1000,"Pass",'User flow template'!$D$2:$D$1000,"All sites")))</f>
        <v/>
      </c>
      <c r="F117" s="0" t="str">
        <f aca="false">IF($A117="","",IF($K$1="All sites",COUNTIFS('User flow template'!$B$2:$B$1000,$A117,'User flow template'!$L$2:$L$1000,"Fail"),COUNTIFS('User flow template'!$B$2:$B$1000,$A117,'User flow template'!$L$2:$L$1000,"Fail",'User flow template'!$D$2:$D$1000,$K$1)+COUNTIFS('User flow template'!$B$2:$B$1000,$A117,'User flow template'!$L$2:$L$1000,"Fail",'User flow template'!$D$2:$D$1000,"All sites")))</f>
        <v/>
      </c>
      <c r="G117" s="0" t="str">
        <f aca="false">IF($A117="","",IF($K$1="All sites",COUNTIFS('User flow template'!$B$2:$B$1000,$A117,'User flow template'!$L$2:$L$1000,"Blocked"),COUNTIFS('User flow template'!$B$2:$B$1000,$A117,'User flow template'!$L$2:$L$1000,"Blocked",'User flow template'!$D$2:$D$1000,$K$1)+COUNTIFS('User flow template'!$B$2:$B$1000,$A117,'User flow template'!$L$2:$L$1000,"Blocked",'User flow template'!$D$2:$D$1000,"All sites")))</f>
        <v/>
      </c>
      <c r="H117" s="0" t="str">
        <f aca="false">IF($A117="","",D117-E117-F117-G117)</f>
        <v/>
      </c>
    </row>
    <row r="118" customFormat="false" ht="15" hidden="false" customHeight="false" outlineLevel="0" collapsed="false">
      <c r="D118" s="0" t="str">
        <f aca="false">IF($A118="","",IF($K$1="All sites",COUNTIFS('User flow template'!$B$2:$B$1000,$A118),COUNTIFS('User flow template'!$B$2:$B$1000,$A118,'User flow template'!$D$2:$D$1000,$K$1)+COUNTIFS('User flow template'!$B$2:$B$1000,$A118,'User flow template'!$D$2:$D$1000,"All sites")))</f>
        <v/>
      </c>
      <c r="E118" s="49" t="str">
        <f aca="false">IF($A118="","",IF($K$1="All sites",COUNTIFS('User flow template'!$B$2:$B$1000,$A118,'User flow template'!$L$2:$L$1000,"Pass"),COUNTIFS('User flow template'!$B$2:$B$1000,$A118,'User flow template'!$L$2:$L$1000,"Pass",'User flow template'!$D$2:$D$1000,$K$1)+COUNTIFS('User flow template'!$B$2:$B$1000,$A118,'User flow template'!$L$2:$L$1000,"Pass",'User flow template'!$D$2:$D$1000,"All sites")))</f>
        <v/>
      </c>
      <c r="F118" s="0" t="str">
        <f aca="false">IF($A118="","",IF($K$1="All sites",COUNTIFS('User flow template'!$B$2:$B$1000,$A118,'User flow template'!$L$2:$L$1000,"Fail"),COUNTIFS('User flow template'!$B$2:$B$1000,$A118,'User flow template'!$L$2:$L$1000,"Fail",'User flow template'!$D$2:$D$1000,$K$1)+COUNTIFS('User flow template'!$B$2:$B$1000,$A118,'User flow template'!$L$2:$L$1000,"Fail",'User flow template'!$D$2:$D$1000,"All sites")))</f>
        <v/>
      </c>
      <c r="G118" s="0" t="str">
        <f aca="false">IF($A118="","",IF($K$1="All sites",COUNTIFS('User flow template'!$B$2:$B$1000,$A118,'User flow template'!$L$2:$L$1000,"Blocked"),COUNTIFS('User flow template'!$B$2:$B$1000,$A118,'User flow template'!$L$2:$L$1000,"Blocked",'User flow template'!$D$2:$D$1000,$K$1)+COUNTIFS('User flow template'!$B$2:$B$1000,$A118,'User flow template'!$L$2:$L$1000,"Blocked",'User flow template'!$D$2:$D$1000,"All sites")))</f>
        <v/>
      </c>
      <c r="H118" s="0" t="str">
        <f aca="false">IF($A118="","",D118-E118-F118-G118)</f>
        <v/>
      </c>
    </row>
    <row r="119" customFormat="false" ht="15" hidden="false" customHeight="false" outlineLevel="0" collapsed="false">
      <c r="D119" s="0" t="str">
        <f aca="false">IF($A119="","",IF($K$1="All sites",COUNTIFS('User flow template'!$B$2:$B$1000,$A119),COUNTIFS('User flow template'!$B$2:$B$1000,$A119,'User flow template'!$D$2:$D$1000,$K$1)+COUNTIFS('User flow template'!$B$2:$B$1000,$A119,'User flow template'!$D$2:$D$1000,"All sites")))</f>
        <v/>
      </c>
      <c r="E119" s="49" t="str">
        <f aca="false">IF($A119="","",IF($K$1="All sites",COUNTIFS('User flow template'!$B$2:$B$1000,$A119,'User flow template'!$L$2:$L$1000,"Pass"),COUNTIFS('User flow template'!$B$2:$B$1000,$A119,'User flow template'!$L$2:$L$1000,"Pass",'User flow template'!$D$2:$D$1000,$K$1)+COUNTIFS('User flow template'!$B$2:$B$1000,$A119,'User flow template'!$L$2:$L$1000,"Pass",'User flow template'!$D$2:$D$1000,"All sites")))</f>
        <v/>
      </c>
      <c r="F119" s="0" t="str">
        <f aca="false">IF($A119="","",IF($K$1="All sites",COUNTIFS('User flow template'!$B$2:$B$1000,$A119,'User flow template'!$L$2:$L$1000,"Fail"),COUNTIFS('User flow template'!$B$2:$B$1000,$A119,'User flow template'!$L$2:$L$1000,"Fail",'User flow template'!$D$2:$D$1000,$K$1)+COUNTIFS('User flow template'!$B$2:$B$1000,$A119,'User flow template'!$L$2:$L$1000,"Fail",'User flow template'!$D$2:$D$1000,"All sites")))</f>
        <v/>
      </c>
      <c r="G119" s="0" t="str">
        <f aca="false">IF($A119="","",IF($K$1="All sites",COUNTIFS('User flow template'!$B$2:$B$1000,$A119,'User flow template'!$L$2:$L$1000,"Blocked"),COUNTIFS('User flow template'!$B$2:$B$1000,$A119,'User flow template'!$L$2:$L$1000,"Blocked",'User flow template'!$D$2:$D$1000,$K$1)+COUNTIFS('User flow template'!$B$2:$B$1000,$A119,'User flow template'!$L$2:$L$1000,"Blocked",'User flow template'!$D$2:$D$1000,"All sites")))</f>
        <v/>
      </c>
      <c r="H119" s="0" t="str">
        <f aca="false">IF($A119="","",D119-E119-F119-G119)</f>
        <v/>
      </c>
    </row>
    <row r="120" customFormat="false" ht="15" hidden="false" customHeight="false" outlineLevel="0" collapsed="false">
      <c r="D120" s="0" t="str">
        <f aca="false">IF($A120="","",IF($K$1="All sites",COUNTIFS('User flow template'!$B$2:$B$1000,$A120),COUNTIFS('User flow template'!$B$2:$B$1000,$A120,'User flow template'!$D$2:$D$1000,$K$1)+COUNTIFS('User flow template'!$B$2:$B$1000,$A120,'User flow template'!$D$2:$D$1000,"All sites")))</f>
        <v/>
      </c>
      <c r="E120" s="49" t="str">
        <f aca="false">IF($A120="","",IF($K$1="All sites",COUNTIFS('User flow template'!$B$2:$B$1000,$A120,'User flow template'!$L$2:$L$1000,"Pass"),COUNTIFS('User flow template'!$B$2:$B$1000,$A120,'User flow template'!$L$2:$L$1000,"Pass",'User flow template'!$D$2:$D$1000,$K$1)+COUNTIFS('User flow template'!$B$2:$B$1000,$A120,'User flow template'!$L$2:$L$1000,"Pass",'User flow template'!$D$2:$D$1000,"All sites")))</f>
        <v/>
      </c>
      <c r="F120" s="0" t="str">
        <f aca="false">IF($A120="","",IF($K$1="All sites",COUNTIFS('User flow template'!$B$2:$B$1000,$A120,'User flow template'!$L$2:$L$1000,"Fail"),COUNTIFS('User flow template'!$B$2:$B$1000,$A120,'User flow template'!$L$2:$L$1000,"Fail",'User flow template'!$D$2:$D$1000,$K$1)+COUNTIFS('User flow template'!$B$2:$B$1000,$A120,'User flow template'!$L$2:$L$1000,"Fail",'User flow template'!$D$2:$D$1000,"All sites")))</f>
        <v/>
      </c>
      <c r="G120" s="0" t="str">
        <f aca="false">IF($A120="","",IF($K$1="All sites",COUNTIFS('User flow template'!$B$2:$B$1000,$A120,'User flow template'!$L$2:$L$1000,"Blocked"),COUNTIFS('User flow template'!$B$2:$B$1000,$A120,'User flow template'!$L$2:$L$1000,"Blocked",'User flow template'!$D$2:$D$1000,$K$1)+COUNTIFS('User flow template'!$B$2:$B$1000,$A120,'User flow template'!$L$2:$L$1000,"Blocked",'User flow template'!$D$2:$D$1000,"All sites")))</f>
        <v/>
      </c>
      <c r="H120" s="0" t="str">
        <f aca="false">IF($A120="","",D120-E120-F120-G120)</f>
        <v/>
      </c>
    </row>
    <row r="121" customFormat="false" ht="15" hidden="false" customHeight="false" outlineLevel="0" collapsed="false">
      <c r="D121" s="0" t="str">
        <f aca="false">IF($A121="","",IF($K$1="All sites",COUNTIFS('User flow template'!$B$2:$B$1000,$A121),COUNTIFS('User flow template'!$B$2:$B$1000,$A121,'User flow template'!$D$2:$D$1000,$K$1)+COUNTIFS('User flow template'!$B$2:$B$1000,$A121,'User flow template'!$D$2:$D$1000,"All sites")))</f>
        <v/>
      </c>
      <c r="E121" s="49" t="str">
        <f aca="false">IF($A121="","",IF($K$1="All sites",COUNTIFS('User flow template'!$B$2:$B$1000,$A121,'User flow template'!$L$2:$L$1000,"Pass"),COUNTIFS('User flow template'!$B$2:$B$1000,$A121,'User flow template'!$L$2:$L$1000,"Pass",'User flow template'!$D$2:$D$1000,$K$1)+COUNTIFS('User flow template'!$B$2:$B$1000,$A121,'User flow template'!$L$2:$L$1000,"Pass",'User flow template'!$D$2:$D$1000,"All sites")))</f>
        <v/>
      </c>
      <c r="F121" s="0" t="str">
        <f aca="false">IF($A121="","",IF($K$1="All sites",COUNTIFS('User flow template'!$B$2:$B$1000,$A121,'User flow template'!$L$2:$L$1000,"Fail"),COUNTIFS('User flow template'!$B$2:$B$1000,$A121,'User flow template'!$L$2:$L$1000,"Fail",'User flow template'!$D$2:$D$1000,$K$1)+COUNTIFS('User flow template'!$B$2:$B$1000,$A121,'User flow template'!$L$2:$L$1000,"Fail",'User flow template'!$D$2:$D$1000,"All sites")))</f>
        <v/>
      </c>
      <c r="G121" s="0" t="str">
        <f aca="false">IF($A121="","",IF($K$1="All sites",COUNTIFS('User flow template'!$B$2:$B$1000,$A121,'User flow template'!$L$2:$L$1000,"Blocked"),COUNTIFS('User flow template'!$B$2:$B$1000,$A121,'User flow template'!$L$2:$L$1000,"Blocked",'User flow template'!$D$2:$D$1000,$K$1)+COUNTIFS('User flow template'!$B$2:$B$1000,$A121,'User flow template'!$L$2:$L$1000,"Blocked",'User flow template'!$D$2:$D$1000,"All sites")))</f>
        <v/>
      </c>
      <c r="H121" s="0" t="str">
        <f aca="false">IF($A121="","",D121-E121-F121-G121)</f>
        <v/>
      </c>
    </row>
    <row r="122" customFormat="false" ht="15" hidden="false" customHeight="false" outlineLevel="0" collapsed="false">
      <c r="D122" s="0" t="str">
        <f aca="false">IF($A122="","",IF($K$1="All sites",COUNTIFS('User flow template'!$B$2:$B$1000,$A122),COUNTIFS('User flow template'!$B$2:$B$1000,$A122,'User flow template'!$D$2:$D$1000,$K$1)+COUNTIFS('User flow template'!$B$2:$B$1000,$A122,'User flow template'!$D$2:$D$1000,"All sites")))</f>
        <v/>
      </c>
      <c r="E122" s="49" t="str">
        <f aca="false">IF($A122="","",IF($K$1="All sites",COUNTIFS('User flow template'!$B$2:$B$1000,$A122,'User flow template'!$L$2:$L$1000,"Pass"),COUNTIFS('User flow template'!$B$2:$B$1000,$A122,'User flow template'!$L$2:$L$1000,"Pass",'User flow template'!$D$2:$D$1000,$K$1)+COUNTIFS('User flow template'!$B$2:$B$1000,$A122,'User flow template'!$L$2:$L$1000,"Pass",'User flow template'!$D$2:$D$1000,"All sites")))</f>
        <v/>
      </c>
      <c r="F122" s="0" t="str">
        <f aca="false">IF($A122="","",IF($K$1="All sites",COUNTIFS('User flow template'!$B$2:$B$1000,$A122,'User flow template'!$L$2:$L$1000,"Fail"),COUNTIFS('User flow template'!$B$2:$B$1000,$A122,'User flow template'!$L$2:$L$1000,"Fail",'User flow template'!$D$2:$D$1000,$K$1)+COUNTIFS('User flow template'!$B$2:$B$1000,$A122,'User flow template'!$L$2:$L$1000,"Fail",'User flow template'!$D$2:$D$1000,"All sites")))</f>
        <v/>
      </c>
      <c r="G122" s="0" t="str">
        <f aca="false">IF($A122="","",IF($K$1="All sites",COUNTIFS('User flow template'!$B$2:$B$1000,$A122,'User flow template'!$L$2:$L$1000,"Blocked"),COUNTIFS('User flow template'!$B$2:$B$1000,$A122,'User flow template'!$L$2:$L$1000,"Blocked",'User flow template'!$D$2:$D$1000,$K$1)+COUNTIFS('User flow template'!$B$2:$B$1000,$A122,'User flow template'!$L$2:$L$1000,"Blocked",'User flow template'!$D$2:$D$1000,"All sites")))</f>
        <v/>
      </c>
      <c r="H122" s="0" t="str">
        <f aca="false">IF($A122="","",D122-E122-F122-G122)</f>
        <v/>
      </c>
    </row>
    <row r="123" customFormat="false" ht="15" hidden="false" customHeight="false" outlineLevel="0" collapsed="false">
      <c r="D123" s="0" t="str">
        <f aca="false">IF($A123="","",IF($K$1="All sites",COUNTIFS('User flow template'!$B$2:$B$1000,$A123),COUNTIFS('User flow template'!$B$2:$B$1000,$A123,'User flow template'!$D$2:$D$1000,$K$1)+COUNTIFS('User flow template'!$B$2:$B$1000,$A123,'User flow template'!$D$2:$D$1000,"All sites")))</f>
        <v/>
      </c>
      <c r="E123" s="49" t="str">
        <f aca="false">IF($A123="","",IF($K$1="All sites",COUNTIFS('User flow template'!$B$2:$B$1000,$A123,'User flow template'!$L$2:$L$1000,"Pass"),COUNTIFS('User flow template'!$B$2:$B$1000,$A123,'User flow template'!$L$2:$L$1000,"Pass",'User flow template'!$D$2:$D$1000,$K$1)+COUNTIFS('User flow template'!$B$2:$B$1000,$A123,'User flow template'!$L$2:$L$1000,"Pass",'User flow template'!$D$2:$D$1000,"All sites")))</f>
        <v/>
      </c>
      <c r="F123" s="0" t="str">
        <f aca="false">IF($A123="","",IF($K$1="All sites",COUNTIFS('User flow template'!$B$2:$B$1000,$A123,'User flow template'!$L$2:$L$1000,"Fail"),COUNTIFS('User flow template'!$B$2:$B$1000,$A123,'User flow template'!$L$2:$L$1000,"Fail",'User flow template'!$D$2:$D$1000,$K$1)+COUNTIFS('User flow template'!$B$2:$B$1000,$A123,'User flow template'!$L$2:$L$1000,"Fail",'User flow template'!$D$2:$D$1000,"All sites")))</f>
        <v/>
      </c>
      <c r="G123" s="0" t="str">
        <f aca="false">IF($A123="","",IF($K$1="All sites",COUNTIFS('User flow template'!$B$2:$B$1000,$A123,'User flow template'!$L$2:$L$1000,"Blocked"),COUNTIFS('User flow template'!$B$2:$B$1000,$A123,'User flow template'!$L$2:$L$1000,"Blocked",'User flow template'!$D$2:$D$1000,$K$1)+COUNTIFS('User flow template'!$B$2:$B$1000,$A123,'User flow template'!$L$2:$L$1000,"Blocked",'User flow template'!$D$2:$D$1000,"All sites")))</f>
        <v/>
      </c>
      <c r="H123" s="0" t="str">
        <f aca="false">IF($A123="","",D123-E123-F123-G123)</f>
        <v/>
      </c>
    </row>
    <row r="124" customFormat="false" ht="15" hidden="false" customHeight="false" outlineLevel="0" collapsed="false">
      <c r="D124" s="0" t="str">
        <f aca="false">IF($A124="","",IF($K$1="All sites",COUNTIFS('User flow template'!$B$2:$B$1000,$A124),COUNTIFS('User flow template'!$B$2:$B$1000,$A124,'User flow template'!$D$2:$D$1000,$K$1)+COUNTIFS('User flow template'!$B$2:$B$1000,$A124,'User flow template'!$D$2:$D$1000,"All sites")))</f>
        <v/>
      </c>
      <c r="E124" s="49" t="str">
        <f aca="false">IF($A124="","",IF($K$1="All sites",COUNTIFS('User flow template'!$B$2:$B$1000,$A124,'User flow template'!$L$2:$L$1000,"Pass"),COUNTIFS('User flow template'!$B$2:$B$1000,$A124,'User flow template'!$L$2:$L$1000,"Pass",'User flow template'!$D$2:$D$1000,$K$1)+COUNTIFS('User flow template'!$B$2:$B$1000,$A124,'User flow template'!$L$2:$L$1000,"Pass",'User flow template'!$D$2:$D$1000,"All sites")))</f>
        <v/>
      </c>
      <c r="F124" s="0" t="str">
        <f aca="false">IF($A124="","",IF($K$1="All sites",COUNTIFS('User flow template'!$B$2:$B$1000,$A124,'User flow template'!$L$2:$L$1000,"Fail"),COUNTIFS('User flow template'!$B$2:$B$1000,$A124,'User flow template'!$L$2:$L$1000,"Fail",'User flow template'!$D$2:$D$1000,$K$1)+COUNTIFS('User flow template'!$B$2:$B$1000,$A124,'User flow template'!$L$2:$L$1000,"Fail",'User flow template'!$D$2:$D$1000,"All sites")))</f>
        <v/>
      </c>
      <c r="G124" s="0" t="str">
        <f aca="false">IF($A124="","",IF($K$1="All sites",COUNTIFS('User flow template'!$B$2:$B$1000,$A124,'User flow template'!$L$2:$L$1000,"Blocked"),COUNTIFS('User flow template'!$B$2:$B$1000,$A124,'User flow template'!$L$2:$L$1000,"Blocked",'User flow template'!$D$2:$D$1000,$K$1)+COUNTIFS('User flow template'!$B$2:$B$1000,$A124,'User flow template'!$L$2:$L$1000,"Blocked",'User flow template'!$D$2:$D$1000,"All sites")))</f>
        <v/>
      </c>
      <c r="H124" s="0" t="str">
        <f aca="false">IF($A124="","",D124-E124-F124-G124)</f>
        <v/>
      </c>
    </row>
    <row r="125" customFormat="false" ht="15" hidden="false" customHeight="false" outlineLevel="0" collapsed="false">
      <c r="D125" s="0" t="str">
        <f aca="false">IF($A125="","",IF($K$1="All sites",COUNTIFS('User flow template'!$B$2:$B$1000,$A125),COUNTIFS('User flow template'!$B$2:$B$1000,$A125,'User flow template'!$D$2:$D$1000,$K$1)+COUNTIFS('User flow template'!$B$2:$B$1000,$A125,'User flow template'!$D$2:$D$1000,"All sites")))</f>
        <v/>
      </c>
      <c r="E125" s="49" t="str">
        <f aca="false">IF($A125="","",IF($K$1="All sites",COUNTIFS('User flow template'!$B$2:$B$1000,$A125,'User flow template'!$L$2:$L$1000,"Pass"),COUNTIFS('User flow template'!$B$2:$B$1000,$A125,'User flow template'!$L$2:$L$1000,"Pass",'User flow template'!$D$2:$D$1000,$K$1)+COUNTIFS('User flow template'!$B$2:$B$1000,$A125,'User flow template'!$L$2:$L$1000,"Pass",'User flow template'!$D$2:$D$1000,"All sites")))</f>
        <v/>
      </c>
      <c r="F125" s="0" t="str">
        <f aca="false">IF($A125="","",IF($K$1="All sites",COUNTIFS('User flow template'!$B$2:$B$1000,$A125,'User flow template'!$L$2:$L$1000,"Fail"),COUNTIFS('User flow template'!$B$2:$B$1000,$A125,'User flow template'!$L$2:$L$1000,"Fail",'User flow template'!$D$2:$D$1000,$K$1)+COUNTIFS('User flow template'!$B$2:$B$1000,$A125,'User flow template'!$L$2:$L$1000,"Fail",'User flow template'!$D$2:$D$1000,"All sites")))</f>
        <v/>
      </c>
      <c r="G125" s="0" t="str">
        <f aca="false">IF($A125="","",IF($K$1="All sites",COUNTIFS('User flow template'!$B$2:$B$1000,$A125,'User flow template'!$L$2:$L$1000,"Blocked"),COUNTIFS('User flow template'!$B$2:$B$1000,$A125,'User flow template'!$L$2:$L$1000,"Blocked",'User flow template'!$D$2:$D$1000,$K$1)+COUNTIFS('User flow template'!$B$2:$B$1000,$A125,'User flow template'!$L$2:$L$1000,"Blocked",'User flow template'!$D$2:$D$1000,"All sites")))</f>
        <v/>
      </c>
      <c r="H125" s="0" t="str">
        <f aca="false">IF($A125="","",D125-E125-F125-G125)</f>
        <v/>
      </c>
    </row>
    <row r="126" customFormat="false" ht="15" hidden="false" customHeight="false" outlineLevel="0" collapsed="false">
      <c r="D126" s="0" t="str">
        <f aca="false">IF($A126="","",IF($K$1="All sites",COUNTIFS('User flow template'!$B$2:$B$1000,$A126),COUNTIFS('User flow template'!$B$2:$B$1000,$A126,'User flow template'!$D$2:$D$1000,$K$1)+COUNTIFS('User flow template'!$B$2:$B$1000,$A126,'User flow template'!$D$2:$D$1000,"All sites")))</f>
        <v/>
      </c>
      <c r="E126" s="49" t="str">
        <f aca="false">IF($A126="","",IF($K$1="All sites",COUNTIFS('User flow template'!$B$2:$B$1000,$A126,'User flow template'!$L$2:$L$1000,"Pass"),COUNTIFS('User flow template'!$B$2:$B$1000,$A126,'User flow template'!$L$2:$L$1000,"Pass",'User flow template'!$D$2:$D$1000,$K$1)+COUNTIFS('User flow template'!$B$2:$B$1000,$A126,'User flow template'!$L$2:$L$1000,"Pass",'User flow template'!$D$2:$D$1000,"All sites")))</f>
        <v/>
      </c>
      <c r="F126" s="0" t="str">
        <f aca="false">IF($A126="","",IF($K$1="All sites",COUNTIFS('User flow template'!$B$2:$B$1000,$A126,'User flow template'!$L$2:$L$1000,"Fail"),COUNTIFS('User flow template'!$B$2:$B$1000,$A126,'User flow template'!$L$2:$L$1000,"Fail",'User flow template'!$D$2:$D$1000,$K$1)+COUNTIFS('User flow template'!$B$2:$B$1000,$A126,'User flow template'!$L$2:$L$1000,"Fail",'User flow template'!$D$2:$D$1000,"All sites")))</f>
        <v/>
      </c>
      <c r="G126" s="0" t="str">
        <f aca="false">IF($A126="","",IF($K$1="All sites",COUNTIFS('User flow template'!$B$2:$B$1000,$A126,'User flow template'!$L$2:$L$1000,"Blocked"),COUNTIFS('User flow template'!$B$2:$B$1000,$A126,'User flow template'!$L$2:$L$1000,"Blocked",'User flow template'!$D$2:$D$1000,$K$1)+COUNTIFS('User flow template'!$B$2:$B$1000,$A126,'User flow template'!$L$2:$L$1000,"Blocked",'User flow template'!$D$2:$D$1000,"All sites")))</f>
        <v/>
      </c>
      <c r="H126" s="0" t="str">
        <f aca="false">IF($A126="","",D126-E126-F126-G126)</f>
        <v/>
      </c>
    </row>
    <row r="127" customFormat="false" ht="15" hidden="false" customHeight="false" outlineLevel="0" collapsed="false">
      <c r="D127" s="0" t="str">
        <f aca="false">IF($A127="","",IF($K$1="All sites",COUNTIFS('User flow template'!$B$2:$B$1000,$A127),COUNTIFS('User flow template'!$B$2:$B$1000,$A127,'User flow template'!$D$2:$D$1000,$K$1)+COUNTIFS('User flow template'!$B$2:$B$1000,$A127,'User flow template'!$D$2:$D$1000,"All sites")))</f>
        <v/>
      </c>
      <c r="E127" s="49" t="str">
        <f aca="false">IF($A127="","",IF($K$1="All sites",COUNTIFS('User flow template'!$B$2:$B$1000,$A127,'User flow template'!$L$2:$L$1000,"Pass"),COUNTIFS('User flow template'!$B$2:$B$1000,$A127,'User flow template'!$L$2:$L$1000,"Pass",'User flow template'!$D$2:$D$1000,$K$1)+COUNTIFS('User flow template'!$B$2:$B$1000,$A127,'User flow template'!$L$2:$L$1000,"Pass",'User flow template'!$D$2:$D$1000,"All sites")))</f>
        <v/>
      </c>
      <c r="F127" s="0" t="str">
        <f aca="false">IF($A127="","",IF($K$1="All sites",COUNTIFS('User flow template'!$B$2:$B$1000,$A127,'User flow template'!$L$2:$L$1000,"Fail"),COUNTIFS('User flow template'!$B$2:$B$1000,$A127,'User flow template'!$L$2:$L$1000,"Fail",'User flow template'!$D$2:$D$1000,$K$1)+COUNTIFS('User flow template'!$B$2:$B$1000,$A127,'User flow template'!$L$2:$L$1000,"Fail",'User flow template'!$D$2:$D$1000,"All sites")))</f>
        <v/>
      </c>
      <c r="G127" s="0" t="str">
        <f aca="false">IF($A127="","",IF($K$1="All sites",COUNTIFS('User flow template'!$B$2:$B$1000,$A127,'User flow template'!$L$2:$L$1000,"Blocked"),COUNTIFS('User flow template'!$B$2:$B$1000,$A127,'User flow template'!$L$2:$L$1000,"Blocked",'User flow template'!$D$2:$D$1000,$K$1)+COUNTIFS('User flow template'!$B$2:$B$1000,$A127,'User flow template'!$L$2:$L$1000,"Blocked",'User flow template'!$D$2:$D$1000,"All sites")))</f>
        <v/>
      </c>
      <c r="H127" s="0" t="str">
        <f aca="false">IF($A127="","",D127-E127-F127-G127)</f>
        <v/>
      </c>
    </row>
    <row r="128" customFormat="false" ht="15" hidden="false" customHeight="false" outlineLevel="0" collapsed="false">
      <c r="D128" s="0" t="str">
        <f aca="false">IF($A128="","",IF($K$1="All sites",COUNTIFS('User flow template'!$B$2:$B$1000,$A128),COUNTIFS('User flow template'!$B$2:$B$1000,$A128,'User flow template'!$D$2:$D$1000,$K$1)+COUNTIFS('User flow template'!$B$2:$B$1000,$A128,'User flow template'!$D$2:$D$1000,"All sites")))</f>
        <v/>
      </c>
      <c r="E128" s="49" t="str">
        <f aca="false">IF($A128="","",IF($K$1="All sites",COUNTIFS('User flow template'!$B$2:$B$1000,$A128,'User flow template'!$L$2:$L$1000,"Pass"),COUNTIFS('User flow template'!$B$2:$B$1000,$A128,'User flow template'!$L$2:$L$1000,"Pass",'User flow template'!$D$2:$D$1000,$K$1)+COUNTIFS('User flow template'!$B$2:$B$1000,$A128,'User flow template'!$L$2:$L$1000,"Pass",'User flow template'!$D$2:$D$1000,"All sites")))</f>
        <v/>
      </c>
      <c r="F128" s="0" t="str">
        <f aca="false">IF($A128="","",IF($K$1="All sites",COUNTIFS('User flow template'!$B$2:$B$1000,$A128,'User flow template'!$L$2:$L$1000,"Fail"),COUNTIFS('User flow template'!$B$2:$B$1000,$A128,'User flow template'!$L$2:$L$1000,"Fail",'User flow template'!$D$2:$D$1000,$K$1)+COUNTIFS('User flow template'!$B$2:$B$1000,$A128,'User flow template'!$L$2:$L$1000,"Fail",'User flow template'!$D$2:$D$1000,"All sites")))</f>
        <v/>
      </c>
      <c r="G128" s="0" t="str">
        <f aca="false">IF($A128="","",IF($K$1="All sites",COUNTIFS('User flow template'!$B$2:$B$1000,$A128,'User flow template'!$L$2:$L$1000,"Blocked"),COUNTIFS('User flow template'!$B$2:$B$1000,$A128,'User flow template'!$L$2:$L$1000,"Blocked",'User flow template'!$D$2:$D$1000,$K$1)+COUNTIFS('User flow template'!$B$2:$B$1000,$A128,'User flow template'!$L$2:$L$1000,"Blocked",'User flow template'!$D$2:$D$1000,"All sites")))</f>
        <v/>
      </c>
      <c r="H128" s="0" t="str">
        <f aca="false">IF($A128="","",D128-E128-F128-G128)</f>
        <v/>
      </c>
    </row>
    <row r="129" customFormat="false" ht="15" hidden="false" customHeight="false" outlineLevel="0" collapsed="false">
      <c r="D129" s="0" t="str">
        <f aca="false">IF($A129="","",IF($K$1="All sites",COUNTIFS('User flow template'!$B$2:$B$1000,$A129),COUNTIFS('User flow template'!$B$2:$B$1000,$A129,'User flow template'!$D$2:$D$1000,$K$1)+COUNTIFS('User flow template'!$B$2:$B$1000,$A129,'User flow template'!$D$2:$D$1000,"All sites")))</f>
        <v/>
      </c>
      <c r="E129" s="49" t="str">
        <f aca="false">IF($A129="","",IF($K$1="All sites",COUNTIFS('User flow template'!$B$2:$B$1000,$A129,'User flow template'!$L$2:$L$1000,"Pass"),COUNTIFS('User flow template'!$B$2:$B$1000,$A129,'User flow template'!$L$2:$L$1000,"Pass",'User flow template'!$D$2:$D$1000,$K$1)+COUNTIFS('User flow template'!$B$2:$B$1000,$A129,'User flow template'!$L$2:$L$1000,"Pass",'User flow template'!$D$2:$D$1000,"All sites")))</f>
        <v/>
      </c>
      <c r="F129" s="0" t="str">
        <f aca="false">IF($A129="","",IF($K$1="All sites",COUNTIFS('User flow template'!$B$2:$B$1000,$A129,'User flow template'!$L$2:$L$1000,"Fail"),COUNTIFS('User flow template'!$B$2:$B$1000,$A129,'User flow template'!$L$2:$L$1000,"Fail",'User flow template'!$D$2:$D$1000,$K$1)+COUNTIFS('User flow template'!$B$2:$B$1000,$A129,'User flow template'!$L$2:$L$1000,"Fail",'User flow template'!$D$2:$D$1000,"All sites")))</f>
        <v/>
      </c>
      <c r="G129" s="0" t="str">
        <f aca="false">IF($A129="","",IF($K$1="All sites",COUNTIFS('User flow template'!$B$2:$B$1000,$A129,'User flow template'!$L$2:$L$1000,"Blocked"),COUNTIFS('User flow template'!$B$2:$B$1000,$A129,'User flow template'!$L$2:$L$1000,"Blocked",'User flow template'!$D$2:$D$1000,$K$1)+COUNTIFS('User flow template'!$B$2:$B$1000,$A129,'User flow template'!$L$2:$L$1000,"Blocked",'User flow template'!$D$2:$D$1000,"All sites")))</f>
        <v/>
      </c>
      <c r="H129" s="0" t="str">
        <f aca="false">IF($A129="","",D129-E129-F129-G129)</f>
        <v/>
      </c>
    </row>
    <row r="130" customFormat="false" ht="15" hidden="false" customHeight="false" outlineLevel="0" collapsed="false">
      <c r="D130" s="0" t="str">
        <f aca="false">IF($A130="","",IF($K$1="All sites",COUNTIFS('User flow template'!$B$2:$B$1000,$A130),COUNTIFS('User flow template'!$B$2:$B$1000,$A130,'User flow template'!$D$2:$D$1000,$K$1)+COUNTIFS('User flow template'!$B$2:$B$1000,$A130,'User flow template'!$D$2:$D$1000,"All sites")))</f>
        <v/>
      </c>
      <c r="E130" s="49" t="str">
        <f aca="false">IF($A130="","",IF($K$1="All sites",COUNTIFS('User flow template'!$B$2:$B$1000,$A130,'User flow template'!$L$2:$L$1000,"Pass"),COUNTIFS('User flow template'!$B$2:$B$1000,$A130,'User flow template'!$L$2:$L$1000,"Pass",'User flow template'!$D$2:$D$1000,$K$1)+COUNTIFS('User flow template'!$B$2:$B$1000,$A130,'User flow template'!$L$2:$L$1000,"Pass",'User flow template'!$D$2:$D$1000,"All sites")))</f>
        <v/>
      </c>
      <c r="F130" s="0" t="str">
        <f aca="false">IF($A130="","",IF($K$1="All sites",COUNTIFS('User flow template'!$B$2:$B$1000,$A130,'User flow template'!$L$2:$L$1000,"Fail"),COUNTIFS('User flow template'!$B$2:$B$1000,$A130,'User flow template'!$L$2:$L$1000,"Fail",'User flow template'!$D$2:$D$1000,$K$1)+COUNTIFS('User flow template'!$B$2:$B$1000,$A130,'User flow template'!$L$2:$L$1000,"Fail",'User flow template'!$D$2:$D$1000,"All sites")))</f>
        <v/>
      </c>
      <c r="G130" s="0" t="str">
        <f aca="false">IF($A130="","",IF($K$1="All sites",COUNTIFS('User flow template'!$B$2:$B$1000,$A130,'User flow template'!$L$2:$L$1000,"Blocked"),COUNTIFS('User flow template'!$B$2:$B$1000,$A130,'User flow template'!$L$2:$L$1000,"Blocked",'User flow template'!$D$2:$D$1000,$K$1)+COUNTIFS('User flow template'!$B$2:$B$1000,$A130,'User flow template'!$L$2:$L$1000,"Blocked",'User flow template'!$D$2:$D$1000,"All sites")))</f>
        <v/>
      </c>
      <c r="H130" s="0" t="str">
        <f aca="false">IF($A130="","",D130-E130-F130-G130)</f>
        <v/>
      </c>
    </row>
    <row r="131" customFormat="false" ht="15" hidden="false" customHeight="false" outlineLevel="0" collapsed="false">
      <c r="D131" s="0" t="str">
        <f aca="false">IF($A131="","",IF($K$1="All sites",COUNTIFS('User flow template'!$B$2:$B$1000,$A131),COUNTIFS('User flow template'!$B$2:$B$1000,$A131,'User flow template'!$D$2:$D$1000,$K$1)+COUNTIFS('User flow template'!$B$2:$B$1000,$A131,'User flow template'!$D$2:$D$1000,"All sites")))</f>
        <v/>
      </c>
      <c r="E131" s="49" t="str">
        <f aca="false">IF($A131="","",IF($K$1="All sites",COUNTIFS('User flow template'!$B$2:$B$1000,$A131,'User flow template'!$L$2:$L$1000,"Pass"),COUNTIFS('User flow template'!$B$2:$B$1000,$A131,'User flow template'!$L$2:$L$1000,"Pass",'User flow template'!$D$2:$D$1000,$K$1)+COUNTIFS('User flow template'!$B$2:$B$1000,$A131,'User flow template'!$L$2:$L$1000,"Pass",'User flow template'!$D$2:$D$1000,"All sites")))</f>
        <v/>
      </c>
      <c r="F131" s="0" t="str">
        <f aca="false">IF($A131="","",IF($K$1="All sites",COUNTIFS('User flow template'!$B$2:$B$1000,$A131,'User flow template'!$L$2:$L$1000,"Fail"),COUNTIFS('User flow template'!$B$2:$B$1000,$A131,'User flow template'!$L$2:$L$1000,"Fail",'User flow template'!$D$2:$D$1000,$K$1)+COUNTIFS('User flow template'!$B$2:$B$1000,$A131,'User flow template'!$L$2:$L$1000,"Fail",'User flow template'!$D$2:$D$1000,"All sites")))</f>
        <v/>
      </c>
      <c r="G131" s="0" t="str">
        <f aca="false">IF($A131="","",IF($K$1="All sites",COUNTIFS('User flow template'!$B$2:$B$1000,$A131,'User flow template'!$L$2:$L$1000,"Blocked"),COUNTIFS('User flow template'!$B$2:$B$1000,$A131,'User flow template'!$L$2:$L$1000,"Blocked",'User flow template'!$D$2:$D$1000,$K$1)+COUNTIFS('User flow template'!$B$2:$B$1000,$A131,'User flow template'!$L$2:$L$1000,"Blocked",'User flow template'!$D$2:$D$1000,"All sites")))</f>
        <v/>
      </c>
      <c r="H131" s="0" t="str">
        <f aca="false">IF($A131="","",D131-E131-F131-G131)</f>
        <v/>
      </c>
    </row>
    <row r="132" customFormat="false" ht="15" hidden="false" customHeight="false" outlineLevel="0" collapsed="false">
      <c r="D132" s="0" t="str">
        <f aca="false">IF($A132="","",IF($K$1="All sites",COUNTIFS('User flow template'!$B$2:$B$1000,$A132),COUNTIFS('User flow template'!$B$2:$B$1000,$A132,'User flow template'!$D$2:$D$1000,$K$1)+COUNTIFS('User flow template'!$B$2:$B$1000,$A132,'User flow template'!$D$2:$D$1000,"All sites")))</f>
        <v/>
      </c>
      <c r="E132" s="49" t="str">
        <f aca="false">IF($A132="","",IF($K$1="All sites",COUNTIFS('User flow template'!$B$2:$B$1000,$A132,'User flow template'!$L$2:$L$1000,"Pass"),COUNTIFS('User flow template'!$B$2:$B$1000,$A132,'User flow template'!$L$2:$L$1000,"Pass",'User flow template'!$D$2:$D$1000,$K$1)+COUNTIFS('User flow template'!$B$2:$B$1000,$A132,'User flow template'!$L$2:$L$1000,"Pass",'User flow template'!$D$2:$D$1000,"All sites")))</f>
        <v/>
      </c>
      <c r="F132" s="0" t="str">
        <f aca="false">IF($A132="","",IF($K$1="All sites",COUNTIFS('User flow template'!$B$2:$B$1000,$A132,'User flow template'!$L$2:$L$1000,"Fail"),COUNTIFS('User flow template'!$B$2:$B$1000,$A132,'User flow template'!$L$2:$L$1000,"Fail",'User flow template'!$D$2:$D$1000,$K$1)+COUNTIFS('User flow template'!$B$2:$B$1000,$A132,'User flow template'!$L$2:$L$1000,"Fail",'User flow template'!$D$2:$D$1000,"All sites")))</f>
        <v/>
      </c>
      <c r="G132" s="0" t="str">
        <f aca="false">IF($A132="","",IF($K$1="All sites",COUNTIFS('User flow template'!$B$2:$B$1000,$A132,'User flow template'!$L$2:$L$1000,"Blocked"),COUNTIFS('User flow template'!$B$2:$B$1000,$A132,'User flow template'!$L$2:$L$1000,"Blocked",'User flow template'!$D$2:$D$1000,$K$1)+COUNTIFS('User flow template'!$B$2:$B$1000,$A132,'User flow template'!$L$2:$L$1000,"Blocked",'User flow template'!$D$2:$D$1000,"All sites")))</f>
        <v/>
      </c>
      <c r="H132" s="0" t="str">
        <f aca="false">IF($A132="","",D132-E132-F132-G132)</f>
        <v/>
      </c>
    </row>
    <row r="133" customFormat="false" ht="15" hidden="false" customHeight="false" outlineLevel="0" collapsed="false">
      <c r="D133" s="0" t="str">
        <f aca="false">IF($A133="","",IF($K$1="All sites",COUNTIFS('User flow template'!$B$2:$B$1000,$A133),COUNTIFS('User flow template'!$B$2:$B$1000,$A133,'User flow template'!$D$2:$D$1000,$K$1)+COUNTIFS('User flow template'!$B$2:$B$1000,$A133,'User flow template'!$D$2:$D$1000,"All sites")))</f>
        <v/>
      </c>
      <c r="E133" s="49" t="str">
        <f aca="false">IF($A133="","",IF($K$1="All sites",COUNTIFS('User flow template'!$B$2:$B$1000,$A133,'User flow template'!$L$2:$L$1000,"Pass"),COUNTIFS('User flow template'!$B$2:$B$1000,$A133,'User flow template'!$L$2:$L$1000,"Pass",'User flow template'!$D$2:$D$1000,$K$1)+COUNTIFS('User flow template'!$B$2:$B$1000,$A133,'User flow template'!$L$2:$L$1000,"Pass",'User flow template'!$D$2:$D$1000,"All sites")))</f>
        <v/>
      </c>
      <c r="F133" s="0" t="str">
        <f aca="false">IF($A133="","",IF($K$1="All sites",COUNTIFS('User flow template'!$B$2:$B$1000,$A133,'User flow template'!$L$2:$L$1000,"Fail"),COUNTIFS('User flow template'!$B$2:$B$1000,$A133,'User flow template'!$L$2:$L$1000,"Fail",'User flow template'!$D$2:$D$1000,$K$1)+COUNTIFS('User flow template'!$B$2:$B$1000,$A133,'User flow template'!$L$2:$L$1000,"Fail",'User flow template'!$D$2:$D$1000,"All sites")))</f>
        <v/>
      </c>
      <c r="G133" s="0" t="str">
        <f aca="false">IF($A133="","",IF($K$1="All sites",COUNTIFS('User flow template'!$B$2:$B$1000,$A133,'User flow template'!$L$2:$L$1000,"Blocked"),COUNTIFS('User flow template'!$B$2:$B$1000,$A133,'User flow template'!$L$2:$L$1000,"Blocked",'User flow template'!$D$2:$D$1000,$K$1)+COUNTIFS('User flow template'!$B$2:$B$1000,$A133,'User flow template'!$L$2:$L$1000,"Blocked",'User flow template'!$D$2:$D$1000,"All sites")))</f>
        <v/>
      </c>
      <c r="H133" s="0" t="str">
        <f aca="false">IF($A133="","",D133-E133-F133-G133)</f>
        <v/>
      </c>
    </row>
    <row r="134" customFormat="false" ht="15" hidden="false" customHeight="false" outlineLevel="0" collapsed="false">
      <c r="D134" s="0" t="str">
        <f aca="false">IF($A134="","",IF($K$1="All sites",COUNTIFS('User flow template'!$B$2:$B$1000,$A134),COUNTIFS('User flow template'!$B$2:$B$1000,$A134,'User flow template'!$D$2:$D$1000,$K$1)+COUNTIFS('User flow template'!$B$2:$B$1000,$A134,'User flow template'!$D$2:$D$1000,"All sites")))</f>
        <v/>
      </c>
      <c r="E134" s="49" t="str">
        <f aca="false">IF($A134="","",IF($K$1="All sites",COUNTIFS('User flow template'!$B$2:$B$1000,$A134,'User flow template'!$L$2:$L$1000,"Pass"),COUNTIFS('User flow template'!$B$2:$B$1000,$A134,'User flow template'!$L$2:$L$1000,"Pass",'User flow template'!$D$2:$D$1000,$K$1)+COUNTIFS('User flow template'!$B$2:$B$1000,$A134,'User flow template'!$L$2:$L$1000,"Pass",'User flow template'!$D$2:$D$1000,"All sites")))</f>
        <v/>
      </c>
      <c r="F134" s="0" t="str">
        <f aca="false">IF($A134="","",IF($K$1="All sites",COUNTIFS('User flow template'!$B$2:$B$1000,$A134,'User flow template'!$L$2:$L$1000,"Fail"),COUNTIFS('User flow template'!$B$2:$B$1000,$A134,'User flow template'!$L$2:$L$1000,"Fail",'User flow template'!$D$2:$D$1000,$K$1)+COUNTIFS('User flow template'!$B$2:$B$1000,$A134,'User flow template'!$L$2:$L$1000,"Fail",'User flow template'!$D$2:$D$1000,"All sites")))</f>
        <v/>
      </c>
      <c r="G134" s="0" t="str">
        <f aca="false">IF($A134="","",IF($K$1="All sites",COUNTIFS('User flow template'!$B$2:$B$1000,$A134,'User flow template'!$L$2:$L$1000,"Blocked"),COUNTIFS('User flow template'!$B$2:$B$1000,$A134,'User flow template'!$L$2:$L$1000,"Blocked",'User flow template'!$D$2:$D$1000,$K$1)+COUNTIFS('User flow template'!$B$2:$B$1000,$A134,'User flow template'!$L$2:$L$1000,"Blocked",'User flow template'!$D$2:$D$1000,"All sites")))</f>
        <v/>
      </c>
      <c r="H134" s="0" t="str">
        <f aca="false">IF($A134="","",D134-E134-F134-G134)</f>
        <v/>
      </c>
    </row>
    <row r="135" customFormat="false" ht="15" hidden="false" customHeight="false" outlineLevel="0" collapsed="false">
      <c r="D135" s="0" t="str">
        <f aca="false">IF($A135="","",IF($K$1="All sites",COUNTIFS('User flow template'!$B$2:$B$1000,$A135),COUNTIFS('User flow template'!$B$2:$B$1000,$A135,'User flow template'!$D$2:$D$1000,$K$1)+COUNTIFS('User flow template'!$B$2:$B$1000,$A135,'User flow template'!$D$2:$D$1000,"All sites")))</f>
        <v/>
      </c>
      <c r="E135" s="49" t="str">
        <f aca="false">IF($A135="","",IF($K$1="All sites",COUNTIFS('User flow template'!$B$2:$B$1000,$A135,'User flow template'!$L$2:$L$1000,"Pass"),COUNTIFS('User flow template'!$B$2:$B$1000,$A135,'User flow template'!$L$2:$L$1000,"Pass",'User flow template'!$D$2:$D$1000,$K$1)+COUNTIFS('User flow template'!$B$2:$B$1000,$A135,'User flow template'!$L$2:$L$1000,"Pass",'User flow template'!$D$2:$D$1000,"All sites")))</f>
        <v/>
      </c>
      <c r="F135" s="0" t="str">
        <f aca="false">IF($A135="","",IF($K$1="All sites",COUNTIFS('User flow template'!$B$2:$B$1000,$A135,'User flow template'!$L$2:$L$1000,"Fail"),COUNTIFS('User flow template'!$B$2:$B$1000,$A135,'User flow template'!$L$2:$L$1000,"Fail",'User flow template'!$D$2:$D$1000,$K$1)+COUNTIFS('User flow template'!$B$2:$B$1000,$A135,'User flow template'!$L$2:$L$1000,"Fail",'User flow template'!$D$2:$D$1000,"All sites")))</f>
        <v/>
      </c>
      <c r="G135" s="0" t="str">
        <f aca="false">IF($A135="","",IF($K$1="All sites",COUNTIFS('User flow template'!$B$2:$B$1000,$A135,'User flow template'!$L$2:$L$1000,"Blocked"),COUNTIFS('User flow template'!$B$2:$B$1000,$A135,'User flow template'!$L$2:$L$1000,"Blocked",'User flow template'!$D$2:$D$1000,$K$1)+COUNTIFS('User flow template'!$B$2:$B$1000,$A135,'User flow template'!$L$2:$L$1000,"Blocked",'User flow template'!$D$2:$D$1000,"All sites")))</f>
        <v/>
      </c>
      <c r="H135" s="0" t="str">
        <f aca="false">IF($A135="","",D135-E135-F135-G135)</f>
        <v/>
      </c>
    </row>
    <row r="136" customFormat="false" ht="15" hidden="false" customHeight="false" outlineLevel="0" collapsed="false">
      <c r="D136" s="0" t="str">
        <f aca="false">IF($A136="","",IF($K$1="All sites",COUNTIFS('User flow template'!$B$2:$B$1000,$A136),COUNTIFS('User flow template'!$B$2:$B$1000,$A136,'User flow template'!$D$2:$D$1000,$K$1)+COUNTIFS('User flow template'!$B$2:$B$1000,$A136,'User flow template'!$D$2:$D$1000,"All sites")))</f>
        <v/>
      </c>
      <c r="E136" s="49" t="str">
        <f aca="false">IF($A136="","",IF($K$1="All sites",COUNTIFS('User flow template'!$B$2:$B$1000,$A136,'User flow template'!$L$2:$L$1000,"Pass"),COUNTIFS('User flow template'!$B$2:$B$1000,$A136,'User flow template'!$L$2:$L$1000,"Pass",'User flow template'!$D$2:$D$1000,$K$1)+COUNTIFS('User flow template'!$B$2:$B$1000,$A136,'User flow template'!$L$2:$L$1000,"Pass",'User flow template'!$D$2:$D$1000,"All sites")))</f>
        <v/>
      </c>
      <c r="F136" s="0" t="str">
        <f aca="false">IF($A136="","",IF($K$1="All sites",COUNTIFS('User flow template'!$B$2:$B$1000,$A136,'User flow template'!$L$2:$L$1000,"Fail"),COUNTIFS('User flow template'!$B$2:$B$1000,$A136,'User flow template'!$L$2:$L$1000,"Fail",'User flow template'!$D$2:$D$1000,$K$1)+COUNTIFS('User flow template'!$B$2:$B$1000,$A136,'User flow template'!$L$2:$L$1000,"Fail",'User flow template'!$D$2:$D$1000,"All sites")))</f>
        <v/>
      </c>
      <c r="G136" s="0" t="str">
        <f aca="false">IF($A136="","",IF($K$1="All sites",COUNTIFS('User flow template'!$B$2:$B$1000,$A136,'User flow template'!$L$2:$L$1000,"Blocked"),COUNTIFS('User flow template'!$B$2:$B$1000,$A136,'User flow template'!$L$2:$L$1000,"Blocked",'User flow template'!$D$2:$D$1000,$K$1)+COUNTIFS('User flow template'!$B$2:$B$1000,$A136,'User flow template'!$L$2:$L$1000,"Blocked",'User flow template'!$D$2:$D$1000,"All sites")))</f>
        <v/>
      </c>
      <c r="H136" s="0" t="str">
        <f aca="false">IF($A136="","",D136-E136-F136-G136)</f>
        <v/>
      </c>
    </row>
    <row r="137" customFormat="false" ht="15" hidden="false" customHeight="false" outlineLevel="0" collapsed="false">
      <c r="D137" s="0" t="str">
        <f aca="false">IF($A137="","",IF($K$1="All sites",COUNTIFS('User flow template'!$B$2:$B$1000,$A137),COUNTIFS('User flow template'!$B$2:$B$1000,$A137,'User flow template'!$D$2:$D$1000,$K$1)+COUNTIFS('User flow template'!$B$2:$B$1000,$A137,'User flow template'!$D$2:$D$1000,"All sites")))</f>
        <v/>
      </c>
      <c r="E137" s="49" t="str">
        <f aca="false">IF($A137="","",IF($K$1="All sites",COUNTIFS('User flow template'!$B$2:$B$1000,$A137,'User flow template'!$L$2:$L$1000,"Pass"),COUNTIFS('User flow template'!$B$2:$B$1000,$A137,'User flow template'!$L$2:$L$1000,"Pass",'User flow template'!$D$2:$D$1000,$K$1)+COUNTIFS('User flow template'!$B$2:$B$1000,$A137,'User flow template'!$L$2:$L$1000,"Pass",'User flow template'!$D$2:$D$1000,"All sites")))</f>
        <v/>
      </c>
      <c r="F137" s="0" t="str">
        <f aca="false">IF($A137="","",IF($K$1="All sites",COUNTIFS('User flow template'!$B$2:$B$1000,$A137,'User flow template'!$L$2:$L$1000,"Fail"),COUNTIFS('User flow template'!$B$2:$B$1000,$A137,'User flow template'!$L$2:$L$1000,"Fail",'User flow template'!$D$2:$D$1000,$K$1)+COUNTIFS('User flow template'!$B$2:$B$1000,$A137,'User flow template'!$L$2:$L$1000,"Fail",'User flow template'!$D$2:$D$1000,"All sites")))</f>
        <v/>
      </c>
      <c r="G137" s="0" t="str">
        <f aca="false">IF($A137="","",IF($K$1="All sites",COUNTIFS('User flow template'!$B$2:$B$1000,$A137,'User flow template'!$L$2:$L$1000,"Blocked"),COUNTIFS('User flow template'!$B$2:$B$1000,$A137,'User flow template'!$L$2:$L$1000,"Blocked",'User flow template'!$D$2:$D$1000,$K$1)+COUNTIFS('User flow template'!$B$2:$B$1000,$A137,'User flow template'!$L$2:$L$1000,"Blocked",'User flow template'!$D$2:$D$1000,"All sites")))</f>
        <v/>
      </c>
      <c r="H137" s="0" t="str">
        <f aca="false">IF($A137="","",D137-E137-F137-G137)</f>
        <v/>
      </c>
    </row>
    <row r="138" customFormat="false" ht="15" hidden="false" customHeight="false" outlineLevel="0" collapsed="false">
      <c r="D138" s="0" t="str">
        <f aca="false">IF($A138="","",IF($K$1="All sites",COUNTIFS('User flow template'!$B$2:$B$1000,$A138),COUNTIFS('User flow template'!$B$2:$B$1000,$A138,'User flow template'!$D$2:$D$1000,$K$1)+COUNTIFS('User flow template'!$B$2:$B$1000,$A138,'User flow template'!$D$2:$D$1000,"All sites")))</f>
        <v/>
      </c>
      <c r="E138" s="49" t="str">
        <f aca="false">IF($A138="","",IF($K$1="All sites",COUNTIFS('User flow template'!$B$2:$B$1000,$A138,'User flow template'!$L$2:$L$1000,"Pass"),COUNTIFS('User flow template'!$B$2:$B$1000,$A138,'User flow template'!$L$2:$L$1000,"Pass",'User flow template'!$D$2:$D$1000,$K$1)+COUNTIFS('User flow template'!$B$2:$B$1000,$A138,'User flow template'!$L$2:$L$1000,"Pass",'User flow template'!$D$2:$D$1000,"All sites")))</f>
        <v/>
      </c>
      <c r="F138" s="0" t="str">
        <f aca="false">IF($A138="","",IF($K$1="All sites",COUNTIFS('User flow template'!$B$2:$B$1000,$A138,'User flow template'!$L$2:$L$1000,"Fail"),COUNTIFS('User flow template'!$B$2:$B$1000,$A138,'User flow template'!$L$2:$L$1000,"Fail",'User flow template'!$D$2:$D$1000,$K$1)+COUNTIFS('User flow template'!$B$2:$B$1000,$A138,'User flow template'!$L$2:$L$1000,"Fail",'User flow template'!$D$2:$D$1000,"All sites")))</f>
        <v/>
      </c>
      <c r="G138" s="0" t="str">
        <f aca="false">IF($A138="","",IF($K$1="All sites",COUNTIFS('User flow template'!$B$2:$B$1000,$A138,'User flow template'!$L$2:$L$1000,"Blocked"),COUNTIFS('User flow template'!$B$2:$B$1000,$A138,'User flow template'!$L$2:$L$1000,"Blocked",'User flow template'!$D$2:$D$1000,$K$1)+COUNTIFS('User flow template'!$B$2:$B$1000,$A138,'User flow template'!$L$2:$L$1000,"Blocked",'User flow template'!$D$2:$D$1000,"All sites")))</f>
        <v/>
      </c>
      <c r="H138" s="0" t="str">
        <f aca="false">IF($A138="","",D138-E138-F138-G138)</f>
        <v/>
      </c>
    </row>
    <row r="139" customFormat="false" ht="15" hidden="false" customHeight="false" outlineLevel="0" collapsed="false">
      <c r="D139" s="0" t="str">
        <f aca="false">IF($A139="","",IF($K$1="All sites",COUNTIFS('User flow template'!$B$2:$B$1000,$A139),COUNTIFS('User flow template'!$B$2:$B$1000,$A139,'User flow template'!$D$2:$D$1000,$K$1)+COUNTIFS('User flow template'!$B$2:$B$1000,$A139,'User flow template'!$D$2:$D$1000,"All sites")))</f>
        <v/>
      </c>
      <c r="E139" s="49" t="str">
        <f aca="false">IF($A139="","",IF($K$1="All sites",COUNTIFS('User flow template'!$B$2:$B$1000,$A139,'User flow template'!$L$2:$L$1000,"Pass"),COUNTIFS('User flow template'!$B$2:$B$1000,$A139,'User flow template'!$L$2:$L$1000,"Pass",'User flow template'!$D$2:$D$1000,$K$1)+COUNTIFS('User flow template'!$B$2:$B$1000,$A139,'User flow template'!$L$2:$L$1000,"Pass",'User flow template'!$D$2:$D$1000,"All sites")))</f>
        <v/>
      </c>
      <c r="F139" s="0" t="str">
        <f aca="false">IF($A139="","",IF($K$1="All sites",COUNTIFS('User flow template'!$B$2:$B$1000,$A139,'User flow template'!$L$2:$L$1000,"Fail"),COUNTIFS('User flow template'!$B$2:$B$1000,$A139,'User flow template'!$L$2:$L$1000,"Fail",'User flow template'!$D$2:$D$1000,$K$1)+COUNTIFS('User flow template'!$B$2:$B$1000,$A139,'User flow template'!$L$2:$L$1000,"Fail",'User flow template'!$D$2:$D$1000,"All sites")))</f>
        <v/>
      </c>
      <c r="G139" s="0" t="str">
        <f aca="false">IF($A139="","",IF($K$1="All sites",COUNTIFS('User flow template'!$B$2:$B$1000,$A139,'User flow template'!$L$2:$L$1000,"Blocked"),COUNTIFS('User flow template'!$B$2:$B$1000,$A139,'User flow template'!$L$2:$L$1000,"Blocked",'User flow template'!$D$2:$D$1000,$K$1)+COUNTIFS('User flow template'!$B$2:$B$1000,$A139,'User flow template'!$L$2:$L$1000,"Blocked",'User flow template'!$D$2:$D$1000,"All sites")))</f>
        <v/>
      </c>
      <c r="H139" s="0" t="str">
        <f aca="false">IF($A139="","",D139-E139-F139-G139)</f>
        <v/>
      </c>
    </row>
    <row r="140" customFormat="false" ht="15" hidden="false" customHeight="false" outlineLevel="0" collapsed="false">
      <c r="D140" s="0" t="str">
        <f aca="false">IF($A140="","",IF($K$1="All sites",COUNTIFS('User flow template'!$B$2:$B$1000,$A140),COUNTIFS('User flow template'!$B$2:$B$1000,$A140,'User flow template'!$D$2:$D$1000,$K$1)+COUNTIFS('User flow template'!$B$2:$B$1000,$A140,'User flow template'!$D$2:$D$1000,"All sites")))</f>
        <v/>
      </c>
      <c r="E140" s="49" t="str">
        <f aca="false">IF($A140="","",IF($K$1="All sites",COUNTIFS('User flow template'!$B$2:$B$1000,$A140,'User flow template'!$L$2:$L$1000,"Pass"),COUNTIFS('User flow template'!$B$2:$B$1000,$A140,'User flow template'!$L$2:$L$1000,"Pass",'User flow template'!$D$2:$D$1000,$K$1)+COUNTIFS('User flow template'!$B$2:$B$1000,$A140,'User flow template'!$L$2:$L$1000,"Pass",'User flow template'!$D$2:$D$1000,"All sites")))</f>
        <v/>
      </c>
      <c r="F140" s="0" t="str">
        <f aca="false">IF($A140="","",IF($K$1="All sites",COUNTIFS('User flow template'!$B$2:$B$1000,$A140,'User flow template'!$L$2:$L$1000,"Fail"),COUNTIFS('User flow template'!$B$2:$B$1000,$A140,'User flow template'!$L$2:$L$1000,"Fail",'User flow template'!$D$2:$D$1000,$K$1)+COUNTIFS('User flow template'!$B$2:$B$1000,$A140,'User flow template'!$L$2:$L$1000,"Fail",'User flow template'!$D$2:$D$1000,"All sites")))</f>
        <v/>
      </c>
      <c r="G140" s="0" t="str">
        <f aca="false">IF($A140="","",IF($K$1="All sites",COUNTIFS('User flow template'!$B$2:$B$1000,$A140,'User flow template'!$L$2:$L$1000,"Blocked"),COUNTIFS('User flow template'!$B$2:$B$1000,$A140,'User flow template'!$L$2:$L$1000,"Blocked",'User flow template'!$D$2:$D$1000,$K$1)+COUNTIFS('User flow template'!$B$2:$B$1000,$A140,'User flow template'!$L$2:$L$1000,"Blocked",'User flow template'!$D$2:$D$1000,"All sites")))</f>
        <v/>
      </c>
      <c r="H140" s="0" t="str">
        <f aca="false">IF($A140="","",D140-E140-F140-G140)</f>
        <v/>
      </c>
    </row>
    <row r="141" customFormat="false" ht="15" hidden="false" customHeight="false" outlineLevel="0" collapsed="false">
      <c r="D141" s="0" t="str">
        <f aca="false">IF($A141="","",IF($K$1="All sites",COUNTIFS('User flow template'!$B$2:$B$1000,$A141),COUNTIFS('User flow template'!$B$2:$B$1000,$A141,'User flow template'!$D$2:$D$1000,$K$1)+COUNTIFS('User flow template'!$B$2:$B$1000,$A141,'User flow template'!$D$2:$D$1000,"All sites")))</f>
        <v/>
      </c>
      <c r="E141" s="49" t="str">
        <f aca="false">IF($A141="","",IF($K$1="All sites",COUNTIFS('User flow template'!$B$2:$B$1000,$A141,'User flow template'!$L$2:$L$1000,"Pass"),COUNTIFS('User flow template'!$B$2:$B$1000,$A141,'User flow template'!$L$2:$L$1000,"Pass",'User flow template'!$D$2:$D$1000,$K$1)+COUNTIFS('User flow template'!$B$2:$B$1000,$A141,'User flow template'!$L$2:$L$1000,"Pass",'User flow template'!$D$2:$D$1000,"All sites")))</f>
        <v/>
      </c>
      <c r="F141" s="0" t="str">
        <f aca="false">IF($A141="","",IF($K$1="All sites",COUNTIFS('User flow template'!$B$2:$B$1000,$A141,'User flow template'!$L$2:$L$1000,"Fail"),COUNTIFS('User flow template'!$B$2:$B$1000,$A141,'User flow template'!$L$2:$L$1000,"Fail",'User flow template'!$D$2:$D$1000,$K$1)+COUNTIFS('User flow template'!$B$2:$B$1000,$A141,'User flow template'!$L$2:$L$1000,"Fail",'User flow template'!$D$2:$D$1000,"All sites")))</f>
        <v/>
      </c>
      <c r="G141" s="0" t="str">
        <f aca="false">IF($A141="","",IF($K$1="All sites",COUNTIFS('User flow template'!$B$2:$B$1000,$A141,'User flow template'!$L$2:$L$1000,"Blocked"),COUNTIFS('User flow template'!$B$2:$B$1000,$A141,'User flow template'!$L$2:$L$1000,"Blocked",'User flow template'!$D$2:$D$1000,$K$1)+COUNTIFS('User flow template'!$B$2:$B$1000,$A141,'User flow template'!$L$2:$L$1000,"Blocked",'User flow template'!$D$2:$D$1000,"All sites")))</f>
        <v/>
      </c>
      <c r="H141" s="0" t="str">
        <f aca="false">IF($A141="","",D141-E141-F141-G141)</f>
        <v/>
      </c>
    </row>
    <row r="142" customFormat="false" ht="15" hidden="false" customHeight="false" outlineLevel="0" collapsed="false">
      <c r="D142" s="0" t="str">
        <f aca="false">IF($A142="","",IF($K$1="All sites",COUNTIFS('User flow template'!$B$2:$B$1000,$A142),COUNTIFS('User flow template'!$B$2:$B$1000,$A142,'User flow template'!$D$2:$D$1000,$K$1)+COUNTIFS('User flow template'!$B$2:$B$1000,$A142,'User flow template'!$D$2:$D$1000,"All sites")))</f>
        <v/>
      </c>
      <c r="E142" s="49" t="str">
        <f aca="false">IF($A142="","",IF($K$1="All sites",COUNTIFS('User flow template'!$B$2:$B$1000,$A142,'User flow template'!$L$2:$L$1000,"Pass"),COUNTIFS('User flow template'!$B$2:$B$1000,$A142,'User flow template'!$L$2:$L$1000,"Pass",'User flow template'!$D$2:$D$1000,$K$1)+COUNTIFS('User flow template'!$B$2:$B$1000,$A142,'User flow template'!$L$2:$L$1000,"Pass",'User flow template'!$D$2:$D$1000,"All sites")))</f>
        <v/>
      </c>
      <c r="F142" s="0" t="str">
        <f aca="false">IF($A142="","",IF($K$1="All sites",COUNTIFS('User flow template'!$B$2:$B$1000,$A142,'User flow template'!$L$2:$L$1000,"Fail"),COUNTIFS('User flow template'!$B$2:$B$1000,$A142,'User flow template'!$L$2:$L$1000,"Fail",'User flow template'!$D$2:$D$1000,$K$1)+COUNTIFS('User flow template'!$B$2:$B$1000,$A142,'User flow template'!$L$2:$L$1000,"Fail",'User flow template'!$D$2:$D$1000,"All sites")))</f>
        <v/>
      </c>
      <c r="G142" s="0" t="str">
        <f aca="false">IF($A142="","",IF($K$1="All sites",COUNTIFS('User flow template'!$B$2:$B$1000,$A142,'User flow template'!$L$2:$L$1000,"Blocked"),COUNTIFS('User flow template'!$B$2:$B$1000,$A142,'User flow template'!$L$2:$L$1000,"Blocked",'User flow template'!$D$2:$D$1000,$K$1)+COUNTIFS('User flow template'!$B$2:$B$1000,$A142,'User flow template'!$L$2:$L$1000,"Blocked",'User flow template'!$D$2:$D$1000,"All sites")))</f>
        <v/>
      </c>
      <c r="H142" s="0" t="str">
        <f aca="false">IF($A142="","",D142-E142-F142-G142)</f>
        <v/>
      </c>
    </row>
    <row r="143" customFormat="false" ht="15" hidden="false" customHeight="false" outlineLevel="0" collapsed="false">
      <c r="D143" s="0" t="str">
        <f aca="false">IF($A143="","",IF($K$1="All sites",COUNTIFS('User flow template'!$B$2:$B$1000,$A143),COUNTIFS('User flow template'!$B$2:$B$1000,$A143,'User flow template'!$D$2:$D$1000,$K$1)+COUNTIFS('User flow template'!$B$2:$B$1000,$A143,'User flow template'!$D$2:$D$1000,"All sites")))</f>
        <v/>
      </c>
      <c r="E143" s="49" t="str">
        <f aca="false">IF($A143="","",IF($K$1="All sites",COUNTIFS('User flow template'!$B$2:$B$1000,$A143,'User flow template'!$L$2:$L$1000,"Pass"),COUNTIFS('User flow template'!$B$2:$B$1000,$A143,'User flow template'!$L$2:$L$1000,"Pass",'User flow template'!$D$2:$D$1000,$K$1)+COUNTIFS('User flow template'!$B$2:$B$1000,$A143,'User flow template'!$L$2:$L$1000,"Pass",'User flow template'!$D$2:$D$1000,"All sites")))</f>
        <v/>
      </c>
      <c r="F143" s="0" t="str">
        <f aca="false">IF($A143="","",IF($K$1="All sites",COUNTIFS('User flow template'!$B$2:$B$1000,$A143,'User flow template'!$L$2:$L$1000,"Fail"),COUNTIFS('User flow template'!$B$2:$B$1000,$A143,'User flow template'!$L$2:$L$1000,"Fail",'User flow template'!$D$2:$D$1000,$K$1)+COUNTIFS('User flow template'!$B$2:$B$1000,$A143,'User flow template'!$L$2:$L$1000,"Fail",'User flow template'!$D$2:$D$1000,"All sites")))</f>
        <v/>
      </c>
      <c r="G143" s="0" t="str">
        <f aca="false">IF($A143="","",IF($K$1="All sites",COUNTIFS('User flow template'!$B$2:$B$1000,$A143,'User flow template'!$L$2:$L$1000,"Blocked"),COUNTIFS('User flow template'!$B$2:$B$1000,$A143,'User flow template'!$L$2:$L$1000,"Blocked",'User flow template'!$D$2:$D$1000,$K$1)+COUNTIFS('User flow template'!$B$2:$B$1000,$A143,'User flow template'!$L$2:$L$1000,"Blocked",'User flow template'!$D$2:$D$1000,"All sites")))</f>
        <v/>
      </c>
      <c r="H143" s="0" t="str">
        <f aca="false">IF($A143="","",D143-E143-F143-G143)</f>
        <v/>
      </c>
    </row>
    <row r="144" customFormat="false" ht="15" hidden="false" customHeight="false" outlineLevel="0" collapsed="false">
      <c r="D144" s="0" t="str">
        <f aca="false">IF($A144="","",IF($K$1="All sites",COUNTIFS('User flow template'!$B$2:$B$1000,$A144),COUNTIFS('User flow template'!$B$2:$B$1000,$A144,'User flow template'!$D$2:$D$1000,$K$1)+COUNTIFS('User flow template'!$B$2:$B$1000,$A144,'User flow template'!$D$2:$D$1000,"All sites")))</f>
        <v/>
      </c>
      <c r="E144" s="49" t="str">
        <f aca="false">IF($A144="","",IF($K$1="All sites",COUNTIFS('User flow template'!$B$2:$B$1000,$A144,'User flow template'!$L$2:$L$1000,"Pass"),COUNTIFS('User flow template'!$B$2:$B$1000,$A144,'User flow template'!$L$2:$L$1000,"Pass",'User flow template'!$D$2:$D$1000,$K$1)+COUNTIFS('User flow template'!$B$2:$B$1000,$A144,'User flow template'!$L$2:$L$1000,"Pass",'User flow template'!$D$2:$D$1000,"All sites")))</f>
        <v/>
      </c>
      <c r="F144" s="0" t="str">
        <f aca="false">IF($A144="","",IF($K$1="All sites",COUNTIFS('User flow template'!$B$2:$B$1000,$A144,'User flow template'!$L$2:$L$1000,"Fail"),COUNTIFS('User flow template'!$B$2:$B$1000,$A144,'User flow template'!$L$2:$L$1000,"Fail",'User flow template'!$D$2:$D$1000,$K$1)+COUNTIFS('User flow template'!$B$2:$B$1000,$A144,'User flow template'!$L$2:$L$1000,"Fail",'User flow template'!$D$2:$D$1000,"All sites")))</f>
        <v/>
      </c>
      <c r="G144" s="0" t="str">
        <f aca="false">IF($A144="","",IF($K$1="All sites",COUNTIFS('User flow template'!$B$2:$B$1000,$A144,'User flow template'!$L$2:$L$1000,"Blocked"),COUNTIFS('User flow template'!$B$2:$B$1000,$A144,'User flow template'!$L$2:$L$1000,"Blocked",'User flow template'!$D$2:$D$1000,$K$1)+COUNTIFS('User flow template'!$B$2:$B$1000,$A144,'User flow template'!$L$2:$L$1000,"Blocked",'User flow template'!$D$2:$D$1000,"All sites")))</f>
        <v/>
      </c>
      <c r="H144" s="0" t="str">
        <f aca="false">IF($A144="","",D144-E144-F144-G144)</f>
        <v/>
      </c>
    </row>
    <row r="145" customFormat="false" ht="15" hidden="false" customHeight="false" outlineLevel="0" collapsed="false">
      <c r="D145" s="0" t="str">
        <f aca="false">IF($A145="","",IF($K$1="All sites",COUNTIFS('User flow template'!$B$2:$B$1000,$A145),COUNTIFS('User flow template'!$B$2:$B$1000,$A145,'User flow template'!$D$2:$D$1000,$K$1)+COUNTIFS('User flow template'!$B$2:$B$1000,$A145,'User flow template'!$D$2:$D$1000,"All sites")))</f>
        <v/>
      </c>
      <c r="E145" s="49" t="str">
        <f aca="false">IF($A145="","",IF($K$1="All sites",COUNTIFS('User flow template'!$B$2:$B$1000,$A145,'User flow template'!$L$2:$L$1000,"Pass"),COUNTIFS('User flow template'!$B$2:$B$1000,$A145,'User flow template'!$L$2:$L$1000,"Pass",'User flow template'!$D$2:$D$1000,$K$1)+COUNTIFS('User flow template'!$B$2:$B$1000,$A145,'User flow template'!$L$2:$L$1000,"Pass",'User flow template'!$D$2:$D$1000,"All sites")))</f>
        <v/>
      </c>
      <c r="F145" s="0" t="str">
        <f aca="false">IF($A145="","",IF($K$1="All sites",COUNTIFS('User flow template'!$B$2:$B$1000,$A145,'User flow template'!$L$2:$L$1000,"Fail"),COUNTIFS('User flow template'!$B$2:$B$1000,$A145,'User flow template'!$L$2:$L$1000,"Fail",'User flow template'!$D$2:$D$1000,$K$1)+COUNTIFS('User flow template'!$B$2:$B$1000,$A145,'User flow template'!$L$2:$L$1000,"Fail",'User flow template'!$D$2:$D$1000,"All sites")))</f>
        <v/>
      </c>
      <c r="G145" s="0" t="str">
        <f aca="false">IF($A145="","",IF($K$1="All sites",COUNTIFS('User flow template'!$B$2:$B$1000,$A145,'User flow template'!$L$2:$L$1000,"Blocked"),COUNTIFS('User flow template'!$B$2:$B$1000,$A145,'User flow template'!$L$2:$L$1000,"Blocked",'User flow template'!$D$2:$D$1000,$K$1)+COUNTIFS('User flow template'!$B$2:$B$1000,$A145,'User flow template'!$L$2:$L$1000,"Blocked",'User flow template'!$D$2:$D$1000,"All sites")))</f>
        <v/>
      </c>
      <c r="H145" s="0" t="str">
        <f aca="false">IF($A145="","",D145-E145-F145-G145)</f>
        <v/>
      </c>
    </row>
    <row r="146" customFormat="false" ht="15" hidden="false" customHeight="false" outlineLevel="0" collapsed="false">
      <c r="D146" s="0" t="str">
        <f aca="false">IF($A146="","",IF($K$1="All sites",COUNTIFS('User flow template'!$B$2:$B$1000,$A146),COUNTIFS('User flow template'!$B$2:$B$1000,$A146,'User flow template'!$D$2:$D$1000,$K$1)+COUNTIFS('User flow template'!$B$2:$B$1000,$A146,'User flow template'!$D$2:$D$1000,"All sites")))</f>
        <v/>
      </c>
      <c r="E146" s="49" t="str">
        <f aca="false">IF($A146="","",IF($K$1="All sites",COUNTIFS('User flow template'!$B$2:$B$1000,$A146,'User flow template'!$L$2:$L$1000,"Pass"),COUNTIFS('User flow template'!$B$2:$B$1000,$A146,'User flow template'!$L$2:$L$1000,"Pass",'User flow template'!$D$2:$D$1000,$K$1)+COUNTIFS('User flow template'!$B$2:$B$1000,$A146,'User flow template'!$L$2:$L$1000,"Pass",'User flow template'!$D$2:$D$1000,"All sites")))</f>
        <v/>
      </c>
      <c r="F146" s="0" t="str">
        <f aca="false">IF($A146="","",IF($K$1="All sites",COUNTIFS('User flow template'!$B$2:$B$1000,$A146,'User flow template'!$L$2:$L$1000,"Fail"),COUNTIFS('User flow template'!$B$2:$B$1000,$A146,'User flow template'!$L$2:$L$1000,"Fail",'User flow template'!$D$2:$D$1000,$K$1)+COUNTIFS('User flow template'!$B$2:$B$1000,$A146,'User flow template'!$L$2:$L$1000,"Fail",'User flow template'!$D$2:$D$1000,"All sites")))</f>
        <v/>
      </c>
      <c r="G146" s="0" t="str">
        <f aca="false">IF($A146="","",IF($K$1="All sites",COUNTIFS('User flow template'!$B$2:$B$1000,$A146,'User flow template'!$L$2:$L$1000,"Blocked"),COUNTIFS('User flow template'!$B$2:$B$1000,$A146,'User flow template'!$L$2:$L$1000,"Blocked",'User flow template'!$D$2:$D$1000,$K$1)+COUNTIFS('User flow template'!$B$2:$B$1000,$A146,'User flow template'!$L$2:$L$1000,"Blocked",'User flow template'!$D$2:$D$1000,"All sites")))</f>
        <v/>
      </c>
      <c r="H146" s="0" t="str">
        <f aca="false">IF($A146="","",D146-E146-F146-G146)</f>
        <v/>
      </c>
    </row>
    <row r="147" customFormat="false" ht="15" hidden="false" customHeight="false" outlineLevel="0" collapsed="false">
      <c r="D147" s="0" t="str">
        <f aca="false">IF($A147="","",IF($K$1="All sites",COUNTIFS('User flow template'!$B$2:$B$1000,$A147),COUNTIFS('User flow template'!$B$2:$B$1000,$A147,'User flow template'!$D$2:$D$1000,$K$1)+COUNTIFS('User flow template'!$B$2:$B$1000,$A147,'User flow template'!$D$2:$D$1000,"All sites")))</f>
        <v/>
      </c>
      <c r="E147" s="49" t="str">
        <f aca="false">IF($A147="","",IF($K$1="All sites",COUNTIFS('User flow template'!$B$2:$B$1000,$A147,'User flow template'!$L$2:$L$1000,"Pass"),COUNTIFS('User flow template'!$B$2:$B$1000,$A147,'User flow template'!$L$2:$L$1000,"Pass",'User flow template'!$D$2:$D$1000,$K$1)+COUNTIFS('User flow template'!$B$2:$B$1000,$A147,'User flow template'!$L$2:$L$1000,"Pass",'User flow template'!$D$2:$D$1000,"All sites")))</f>
        <v/>
      </c>
      <c r="F147" s="0" t="str">
        <f aca="false">IF($A147="","",IF($K$1="All sites",COUNTIFS('User flow template'!$B$2:$B$1000,$A147,'User flow template'!$L$2:$L$1000,"Fail"),COUNTIFS('User flow template'!$B$2:$B$1000,$A147,'User flow template'!$L$2:$L$1000,"Fail",'User flow template'!$D$2:$D$1000,$K$1)+COUNTIFS('User flow template'!$B$2:$B$1000,$A147,'User flow template'!$L$2:$L$1000,"Fail",'User flow template'!$D$2:$D$1000,"All sites")))</f>
        <v/>
      </c>
      <c r="G147" s="0" t="str">
        <f aca="false">IF($A147="","",IF($K$1="All sites",COUNTIFS('User flow template'!$B$2:$B$1000,$A147,'User flow template'!$L$2:$L$1000,"Blocked"),COUNTIFS('User flow template'!$B$2:$B$1000,$A147,'User flow template'!$L$2:$L$1000,"Blocked",'User flow template'!$D$2:$D$1000,$K$1)+COUNTIFS('User flow template'!$B$2:$B$1000,$A147,'User flow template'!$L$2:$L$1000,"Blocked",'User flow template'!$D$2:$D$1000,"All sites")))</f>
        <v/>
      </c>
      <c r="H147" s="0" t="str">
        <f aca="false">IF($A147="","",D147-E147-F147-G147)</f>
        <v/>
      </c>
    </row>
    <row r="148" customFormat="false" ht="15" hidden="false" customHeight="false" outlineLevel="0" collapsed="false">
      <c r="D148" s="0" t="str">
        <f aca="false">IF($A148="","",IF($K$1="All sites",COUNTIFS('User flow template'!$B$2:$B$1000,$A148),COUNTIFS('User flow template'!$B$2:$B$1000,$A148,'User flow template'!$D$2:$D$1000,$K$1)+COUNTIFS('User flow template'!$B$2:$B$1000,$A148,'User flow template'!$D$2:$D$1000,"All sites")))</f>
        <v/>
      </c>
      <c r="E148" s="49" t="str">
        <f aca="false">IF($A148="","",IF($K$1="All sites",COUNTIFS('User flow template'!$B$2:$B$1000,$A148,'User flow template'!$L$2:$L$1000,"Pass"),COUNTIFS('User flow template'!$B$2:$B$1000,$A148,'User flow template'!$L$2:$L$1000,"Pass",'User flow template'!$D$2:$D$1000,$K$1)+COUNTIFS('User flow template'!$B$2:$B$1000,$A148,'User flow template'!$L$2:$L$1000,"Pass",'User flow template'!$D$2:$D$1000,"All sites")))</f>
        <v/>
      </c>
      <c r="F148" s="0" t="str">
        <f aca="false">IF($A148="","",IF($K$1="All sites",COUNTIFS('User flow template'!$B$2:$B$1000,$A148,'User flow template'!$L$2:$L$1000,"Fail"),COUNTIFS('User flow template'!$B$2:$B$1000,$A148,'User flow template'!$L$2:$L$1000,"Fail",'User flow template'!$D$2:$D$1000,$K$1)+COUNTIFS('User flow template'!$B$2:$B$1000,$A148,'User flow template'!$L$2:$L$1000,"Fail",'User flow template'!$D$2:$D$1000,"All sites")))</f>
        <v/>
      </c>
      <c r="G148" s="0" t="str">
        <f aca="false">IF($A148="","",IF($K$1="All sites",COUNTIFS('User flow template'!$B$2:$B$1000,$A148,'User flow template'!$L$2:$L$1000,"Blocked"),COUNTIFS('User flow template'!$B$2:$B$1000,$A148,'User flow template'!$L$2:$L$1000,"Blocked",'User flow template'!$D$2:$D$1000,$K$1)+COUNTIFS('User flow template'!$B$2:$B$1000,$A148,'User flow template'!$L$2:$L$1000,"Blocked",'User flow template'!$D$2:$D$1000,"All sites")))</f>
        <v/>
      </c>
      <c r="H148" s="0" t="str">
        <f aca="false">IF($A148="","",D148-E148-F148-G148)</f>
        <v/>
      </c>
    </row>
    <row r="149" customFormat="false" ht="15" hidden="false" customHeight="false" outlineLevel="0" collapsed="false">
      <c r="D149" s="0" t="str">
        <f aca="false">IF($A149="","",IF($K$1="All sites",COUNTIFS('User flow template'!$B$2:$B$1000,$A149),COUNTIFS('User flow template'!$B$2:$B$1000,$A149,'User flow template'!$D$2:$D$1000,$K$1)+COUNTIFS('User flow template'!$B$2:$B$1000,$A149,'User flow template'!$D$2:$D$1000,"All sites")))</f>
        <v/>
      </c>
      <c r="E149" s="49" t="str">
        <f aca="false">IF($A149="","",IF($K$1="All sites",COUNTIFS('User flow template'!$B$2:$B$1000,$A149,'User flow template'!$L$2:$L$1000,"Pass"),COUNTIFS('User flow template'!$B$2:$B$1000,$A149,'User flow template'!$L$2:$L$1000,"Pass",'User flow template'!$D$2:$D$1000,$K$1)+COUNTIFS('User flow template'!$B$2:$B$1000,$A149,'User flow template'!$L$2:$L$1000,"Pass",'User flow template'!$D$2:$D$1000,"All sites")))</f>
        <v/>
      </c>
      <c r="F149" s="0" t="str">
        <f aca="false">IF($A149="","",IF($K$1="All sites",COUNTIFS('User flow template'!$B$2:$B$1000,$A149,'User flow template'!$L$2:$L$1000,"Fail"),COUNTIFS('User flow template'!$B$2:$B$1000,$A149,'User flow template'!$L$2:$L$1000,"Fail",'User flow template'!$D$2:$D$1000,$K$1)+COUNTIFS('User flow template'!$B$2:$B$1000,$A149,'User flow template'!$L$2:$L$1000,"Fail",'User flow template'!$D$2:$D$1000,"All sites")))</f>
        <v/>
      </c>
      <c r="G149" s="0" t="str">
        <f aca="false">IF($A149="","",IF($K$1="All sites",COUNTIFS('User flow template'!$B$2:$B$1000,$A149,'User flow template'!$L$2:$L$1000,"Blocked"),COUNTIFS('User flow template'!$B$2:$B$1000,$A149,'User flow template'!$L$2:$L$1000,"Blocked",'User flow template'!$D$2:$D$1000,$K$1)+COUNTIFS('User flow template'!$B$2:$B$1000,$A149,'User flow template'!$L$2:$L$1000,"Blocked",'User flow template'!$D$2:$D$1000,"All sites")))</f>
        <v/>
      </c>
      <c r="H149" s="0" t="str">
        <f aca="false">IF($A149="","",D149-E149-F149-G149)</f>
        <v/>
      </c>
    </row>
    <row r="150" customFormat="false" ht="15" hidden="false" customHeight="false" outlineLevel="0" collapsed="false">
      <c r="D150" s="0" t="str">
        <f aca="false">IF($A150="","",IF($K$1="All sites",COUNTIFS('User flow template'!$B$2:$B$1000,$A150),COUNTIFS('User flow template'!$B$2:$B$1000,$A150,'User flow template'!$D$2:$D$1000,$K$1)+COUNTIFS('User flow template'!$B$2:$B$1000,$A150,'User flow template'!$D$2:$D$1000,"All sites")))</f>
        <v/>
      </c>
      <c r="E150" s="49" t="str">
        <f aca="false">IF($A150="","",IF($K$1="All sites",COUNTIFS('User flow template'!$B$2:$B$1000,$A150,'User flow template'!$L$2:$L$1000,"Pass"),COUNTIFS('User flow template'!$B$2:$B$1000,$A150,'User flow template'!$L$2:$L$1000,"Pass",'User flow template'!$D$2:$D$1000,$K$1)+COUNTIFS('User flow template'!$B$2:$B$1000,$A150,'User flow template'!$L$2:$L$1000,"Pass",'User flow template'!$D$2:$D$1000,"All sites")))</f>
        <v/>
      </c>
      <c r="F150" s="0" t="str">
        <f aca="false">IF($A150="","",IF($K$1="All sites",COUNTIFS('User flow template'!$B$2:$B$1000,$A150,'User flow template'!$L$2:$L$1000,"Fail"),COUNTIFS('User flow template'!$B$2:$B$1000,$A150,'User flow template'!$L$2:$L$1000,"Fail",'User flow template'!$D$2:$D$1000,$K$1)+COUNTIFS('User flow template'!$B$2:$B$1000,$A150,'User flow template'!$L$2:$L$1000,"Fail",'User flow template'!$D$2:$D$1000,"All sites")))</f>
        <v/>
      </c>
      <c r="G150" s="0" t="str">
        <f aca="false">IF($A150="","",IF($K$1="All sites",COUNTIFS('User flow template'!$B$2:$B$1000,$A150,'User flow template'!$L$2:$L$1000,"Blocked"),COUNTIFS('User flow template'!$B$2:$B$1000,$A150,'User flow template'!$L$2:$L$1000,"Blocked",'User flow template'!$D$2:$D$1000,$K$1)+COUNTIFS('User flow template'!$B$2:$B$1000,$A150,'User flow template'!$L$2:$L$1000,"Blocked",'User flow template'!$D$2:$D$1000,"All sites")))</f>
        <v/>
      </c>
      <c r="H150" s="0" t="str">
        <f aca="false">IF($A150="","",D150-E150-F150-G150)</f>
        <v/>
      </c>
    </row>
    <row r="151" customFormat="false" ht="15" hidden="false" customHeight="false" outlineLevel="0" collapsed="false">
      <c r="D151" s="0" t="str">
        <f aca="false">IF($A151="","",IF($K$1="All sites",COUNTIFS('User flow template'!$B$2:$B$1000,$A151),COUNTIFS('User flow template'!$B$2:$B$1000,$A151,'User flow template'!$D$2:$D$1000,$K$1)+COUNTIFS('User flow template'!$B$2:$B$1000,$A151,'User flow template'!$D$2:$D$1000,"All sites")))</f>
        <v/>
      </c>
      <c r="E151" s="49" t="str">
        <f aca="false">IF($A151="","",IF($K$1="All sites",COUNTIFS('User flow template'!$B$2:$B$1000,$A151,'User flow template'!$L$2:$L$1000,"Pass"),COUNTIFS('User flow template'!$B$2:$B$1000,$A151,'User flow template'!$L$2:$L$1000,"Pass",'User flow template'!$D$2:$D$1000,$K$1)+COUNTIFS('User flow template'!$B$2:$B$1000,$A151,'User flow template'!$L$2:$L$1000,"Pass",'User flow template'!$D$2:$D$1000,"All sites")))</f>
        <v/>
      </c>
      <c r="F151" s="0" t="str">
        <f aca="false">IF($A151="","",IF($K$1="All sites",COUNTIFS('User flow template'!$B$2:$B$1000,$A151,'User flow template'!$L$2:$L$1000,"Fail"),COUNTIFS('User flow template'!$B$2:$B$1000,$A151,'User flow template'!$L$2:$L$1000,"Fail",'User flow template'!$D$2:$D$1000,$K$1)+COUNTIFS('User flow template'!$B$2:$B$1000,$A151,'User flow template'!$L$2:$L$1000,"Fail",'User flow template'!$D$2:$D$1000,"All sites")))</f>
        <v/>
      </c>
      <c r="G151" s="0" t="str">
        <f aca="false">IF($A151="","",IF($K$1="All sites",COUNTIFS('User flow template'!$B$2:$B$1000,$A151,'User flow template'!$L$2:$L$1000,"Blocked"),COUNTIFS('User flow template'!$B$2:$B$1000,$A151,'User flow template'!$L$2:$L$1000,"Blocked",'User flow template'!$D$2:$D$1000,$K$1)+COUNTIFS('User flow template'!$B$2:$B$1000,$A151,'User flow template'!$L$2:$L$1000,"Blocked",'User flow template'!$D$2:$D$1000,"All sites")))</f>
        <v/>
      </c>
      <c r="H151" s="0" t="str">
        <f aca="false">IF($A151="","",D151-E151-F151-G151)</f>
        <v/>
      </c>
    </row>
    <row r="152" customFormat="false" ht="15" hidden="false" customHeight="false" outlineLevel="0" collapsed="false">
      <c r="D152" s="0" t="str">
        <f aca="false">IF($A152="","",IF($K$1="All sites",COUNTIFS('User flow template'!$B$2:$B$1000,$A152),COUNTIFS('User flow template'!$B$2:$B$1000,$A152,'User flow template'!$D$2:$D$1000,$K$1)+COUNTIFS('User flow template'!$B$2:$B$1000,$A152,'User flow template'!$D$2:$D$1000,"All sites")))</f>
        <v/>
      </c>
      <c r="E152" s="49" t="str">
        <f aca="false">IF($A152="","",IF($K$1="All sites",COUNTIFS('User flow template'!$B$2:$B$1000,$A152,'User flow template'!$L$2:$L$1000,"Pass"),COUNTIFS('User flow template'!$B$2:$B$1000,$A152,'User flow template'!$L$2:$L$1000,"Pass",'User flow template'!$D$2:$D$1000,$K$1)+COUNTIFS('User flow template'!$B$2:$B$1000,$A152,'User flow template'!$L$2:$L$1000,"Pass",'User flow template'!$D$2:$D$1000,"All sites")))</f>
        <v/>
      </c>
      <c r="F152" s="0" t="str">
        <f aca="false">IF($A152="","",IF($K$1="All sites",COUNTIFS('User flow template'!$B$2:$B$1000,$A152,'User flow template'!$L$2:$L$1000,"Fail"),COUNTIFS('User flow template'!$B$2:$B$1000,$A152,'User flow template'!$L$2:$L$1000,"Fail",'User flow template'!$D$2:$D$1000,$K$1)+COUNTIFS('User flow template'!$B$2:$B$1000,$A152,'User flow template'!$L$2:$L$1000,"Fail",'User flow template'!$D$2:$D$1000,"All sites")))</f>
        <v/>
      </c>
      <c r="G152" s="0" t="str">
        <f aca="false">IF($A152="","",IF($K$1="All sites",COUNTIFS('User flow template'!$B$2:$B$1000,$A152,'User flow template'!$L$2:$L$1000,"Blocked"),COUNTIFS('User flow template'!$B$2:$B$1000,$A152,'User flow template'!$L$2:$L$1000,"Blocked",'User flow template'!$D$2:$D$1000,$K$1)+COUNTIFS('User flow template'!$B$2:$B$1000,$A152,'User flow template'!$L$2:$L$1000,"Blocked",'User flow template'!$D$2:$D$1000,"All sites")))</f>
        <v/>
      </c>
      <c r="H152" s="0" t="str">
        <f aca="false">IF($A152="","",D152-E152-F152-G152)</f>
        <v/>
      </c>
    </row>
    <row r="153" customFormat="false" ht="15" hidden="false" customHeight="false" outlineLevel="0" collapsed="false">
      <c r="D153" s="0" t="str">
        <f aca="false">IF($A153="","",IF($K$1="All sites",COUNTIFS('User flow template'!$B$2:$B$1000,$A153),COUNTIFS('User flow template'!$B$2:$B$1000,$A153,'User flow template'!$D$2:$D$1000,$K$1)+COUNTIFS('User flow template'!$B$2:$B$1000,$A153,'User flow template'!$D$2:$D$1000,"All sites")))</f>
        <v/>
      </c>
      <c r="E153" s="49" t="str">
        <f aca="false">IF($A153="","",IF($K$1="All sites",COUNTIFS('User flow template'!$B$2:$B$1000,$A153,'User flow template'!$L$2:$L$1000,"Pass"),COUNTIFS('User flow template'!$B$2:$B$1000,$A153,'User flow template'!$L$2:$L$1000,"Pass",'User flow template'!$D$2:$D$1000,$K$1)+COUNTIFS('User flow template'!$B$2:$B$1000,$A153,'User flow template'!$L$2:$L$1000,"Pass",'User flow template'!$D$2:$D$1000,"All sites")))</f>
        <v/>
      </c>
      <c r="F153" s="0" t="str">
        <f aca="false">IF($A153="","",IF($K$1="All sites",COUNTIFS('User flow template'!$B$2:$B$1000,$A153,'User flow template'!$L$2:$L$1000,"Fail"),COUNTIFS('User flow template'!$B$2:$B$1000,$A153,'User flow template'!$L$2:$L$1000,"Fail",'User flow template'!$D$2:$D$1000,$K$1)+COUNTIFS('User flow template'!$B$2:$B$1000,$A153,'User flow template'!$L$2:$L$1000,"Fail",'User flow template'!$D$2:$D$1000,"All sites")))</f>
        <v/>
      </c>
      <c r="G153" s="0" t="str">
        <f aca="false">IF($A153="","",IF($K$1="All sites",COUNTIFS('User flow template'!$B$2:$B$1000,$A153,'User flow template'!$L$2:$L$1000,"Blocked"),COUNTIFS('User flow template'!$B$2:$B$1000,$A153,'User flow template'!$L$2:$L$1000,"Blocked",'User flow template'!$D$2:$D$1000,$K$1)+COUNTIFS('User flow template'!$B$2:$B$1000,$A153,'User flow template'!$L$2:$L$1000,"Blocked",'User flow template'!$D$2:$D$1000,"All sites")))</f>
        <v/>
      </c>
      <c r="H153" s="0" t="str">
        <f aca="false">IF($A153="","",D153-E153-F153-G153)</f>
        <v/>
      </c>
    </row>
    <row r="154" customFormat="false" ht="15" hidden="false" customHeight="false" outlineLevel="0" collapsed="false">
      <c r="D154" s="0" t="str">
        <f aca="false">IF($A154="","",IF($K$1="All sites",COUNTIFS('User flow template'!$B$2:$B$1000,$A154),COUNTIFS('User flow template'!$B$2:$B$1000,$A154,'User flow template'!$D$2:$D$1000,$K$1)+COUNTIFS('User flow template'!$B$2:$B$1000,$A154,'User flow template'!$D$2:$D$1000,"All sites")))</f>
        <v/>
      </c>
      <c r="E154" s="49" t="str">
        <f aca="false">IF($A154="","",IF($K$1="All sites",COUNTIFS('User flow template'!$B$2:$B$1000,$A154,'User flow template'!$L$2:$L$1000,"Pass"),COUNTIFS('User flow template'!$B$2:$B$1000,$A154,'User flow template'!$L$2:$L$1000,"Pass",'User flow template'!$D$2:$D$1000,$K$1)+COUNTIFS('User flow template'!$B$2:$B$1000,$A154,'User flow template'!$L$2:$L$1000,"Pass",'User flow template'!$D$2:$D$1000,"All sites")))</f>
        <v/>
      </c>
      <c r="F154" s="0" t="str">
        <f aca="false">IF($A154="","",IF($K$1="All sites",COUNTIFS('User flow template'!$B$2:$B$1000,$A154,'User flow template'!$L$2:$L$1000,"Fail"),COUNTIFS('User flow template'!$B$2:$B$1000,$A154,'User flow template'!$L$2:$L$1000,"Fail",'User flow template'!$D$2:$D$1000,$K$1)+COUNTIFS('User flow template'!$B$2:$B$1000,$A154,'User flow template'!$L$2:$L$1000,"Fail",'User flow template'!$D$2:$D$1000,"All sites")))</f>
        <v/>
      </c>
      <c r="G154" s="0" t="str">
        <f aca="false">IF($A154="","",IF($K$1="All sites",COUNTIFS('User flow template'!$B$2:$B$1000,$A154,'User flow template'!$L$2:$L$1000,"Blocked"),COUNTIFS('User flow template'!$B$2:$B$1000,$A154,'User flow template'!$L$2:$L$1000,"Blocked",'User flow template'!$D$2:$D$1000,$K$1)+COUNTIFS('User flow template'!$B$2:$B$1000,$A154,'User flow template'!$L$2:$L$1000,"Blocked",'User flow template'!$D$2:$D$1000,"All sites")))</f>
        <v/>
      </c>
      <c r="H154" s="0" t="str">
        <f aca="false">IF($A154="","",D154-E154-F154-G154)</f>
        <v/>
      </c>
    </row>
    <row r="155" customFormat="false" ht="15" hidden="false" customHeight="false" outlineLevel="0" collapsed="false">
      <c r="D155" s="0" t="str">
        <f aca="false">IF($A155="","",IF($K$1="All sites",COUNTIFS('User flow template'!$B$2:$B$1000,$A155),COUNTIFS('User flow template'!$B$2:$B$1000,$A155,'User flow template'!$D$2:$D$1000,$K$1)+COUNTIFS('User flow template'!$B$2:$B$1000,$A155,'User flow template'!$D$2:$D$1000,"All sites")))</f>
        <v/>
      </c>
      <c r="E155" s="49" t="str">
        <f aca="false">IF($A155="","",IF($K$1="All sites",COUNTIFS('User flow template'!$B$2:$B$1000,$A155,'User flow template'!$L$2:$L$1000,"Pass"),COUNTIFS('User flow template'!$B$2:$B$1000,$A155,'User flow template'!$L$2:$L$1000,"Pass",'User flow template'!$D$2:$D$1000,$K$1)+COUNTIFS('User flow template'!$B$2:$B$1000,$A155,'User flow template'!$L$2:$L$1000,"Pass",'User flow template'!$D$2:$D$1000,"All sites")))</f>
        <v/>
      </c>
      <c r="F155" s="0" t="str">
        <f aca="false">IF($A155="","",IF($K$1="All sites",COUNTIFS('User flow template'!$B$2:$B$1000,$A155,'User flow template'!$L$2:$L$1000,"Fail"),COUNTIFS('User flow template'!$B$2:$B$1000,$A155,'User flow template'!$L$2:$L$1000,"Fail",'User flow template'!$D$2:$D$1000,$K$1)+COUNTIFS('User flow template'!$B$2:$B$1000,$A155,'User flow template'!$L$2:$L$1000,"Fail",'User flow template'!$D$2:$D$1000,"All sites")))</f>
        <v/>
      </c>
      <c r="G155" s="0" t="str">
        <f aca="false">IF($A155="","",IF($K$1="All sites",COUNTIFS('User flow template'!$B$2:$B$1000,$A155,'User flow template'!$L$2:$L$1000,"Blocked"),COUNTIFS('User flow template'!$B$2:$B$1000,$A155,'User flow template'!$L$2:$L$1000,"Blocked",'User flow template'!$D$2:$D$1000,$K$1)+COUNTIFS('User flow template'!$B$2:$B$1000,$A155,'User flow template'!$L$2:$L$1000,"Blocked",'User flow template'!$D$2:$D$1000,"All sites")))</f>
        <v/>
      </c>
      <c r="H155" s="0" t="str">
        <f aca="false">IF($A155="","",D155-E155-F155-G155)</f>
        <v/>
      </c>
    </row>
    <row r="156" customFormat="false" ht="15" hidden="false" customHeight="false" outlineLevel="0" collapsed="false">
      <c r="D156" s="0" t="str">
        <f aca="false">IF($A156="","",IF($K$1="All sites",COUNTIFS('User flow template'!$B$2:$B$1000,$A156),COUNTIFS('User flow template'!$B$2:$B$1000,$A156,'User flow template'!$D$2:$D$1000,$K$1)+COUNTIFS('User flow template'!$B$2:$B$1000,$A156,'User flow template'!$D$2:$D$1000,"All sites")))</f>
        <v/>
      </c>
      <c r="E156" s="49" t="str">
        <f aca="false">IF($A156="","",IF($K$1="All sites",COUNTIFS('User flow template'!$B$2:$B$1000,$A156,'User flow template'!$L$2:$L$1000,"Pass"),COUNTIFS('User flow template'!$B$2:$B$1000,$A156,'User flow template'!$L$2:$L$1000,"Pass",'User flow template'!$D$2:$D$1000,$K$1)+COUNTIFS('User flow template'!$B$2:$B$1000,$A156,'User flow template'!$L$2:$L$1000,"Pass",'User flow template'!$D$2:$D$1000,"All sites")))</f>
        <v/>
      </c>
      <c r="F156" s="0" t="str">
        <f aca="false">IF($A156="","",IF($K$1="All sites",COUNTIFS('User flow template'!$B$2:$B$1000,$A156,'User flow template'!$L$2:$L$1000,"Fail"),COUNTIFS('User flow template'!$B$2:$B$1000,$A156,'User flow template'!$L$2:$L$1000,"Fail",'User flow template'!$D$2:$D$1000,$K$1)+COUNTIFS('User flow template'!$B$2:$B$1000,$A156,'User flow template'!$L$2:$L$1000,"Fail",'User flow template'!$D$2:$D$1000,"All sites")))</f>
        <v/>
      </c>
      <c r="G156" s="0" t="str">
        <f aca="false">IF($A156="","",IF($K$1="All sites",COUNTIFS('User flow template'!$B$2:$B$1000,$A156,'User flow template'!$L$2:$L$1000,"Blocked"),COUNTIFS('User flow template'!$B$2:$B$1000,$A156,'User flow template'!$L$2:$L$1000,"Blocked",'User flow template'!$D$2:$D$1000,$K$1)+COUNTIFS('User flow template'!$B$2:$B$1000,$A156,'User flow template'!$L$2:$L$1000,"Blocked",'User flow template'!$D$2:$D$1000,"All sites")))</f>
        <v/>
      </c>
      <c r="H156" s="0" t="str">
        <f aca="false">IF($A156="","",D156-E156-F156-G156)</f>
        <v/>
      </c>
    </row>
    <row r="157" customFormat="false" ht="15" hidden="false" customHeight="false" outlineLevel="0" collapsed="false">
      <c r="D157" s="0" t="str">
        <f aca="false">IF($A157="","",IF($K$1="All sites",COUNTIFS('User flow template'!$B$2:$B$1000,$A157),COUNTIFS('User flow template'!$B$2:$B$1000,$A157,'User flow template'!$D$2:$D$1000,$K$1)+COUNTIFS('User flow template'!$B$2:$B$1000,$A157,'User flow template'!$D$2:$D$1000,"All sites")))</f>
        <v/>
      </c>
      <c r="E157" s="49" t="str">
        <f aca="false">IF($A157="","",IF($K$1="All sites",COUNTIFS('User flow template'!$B$2:$B$1000,$A157,'User flow template'!$L$2:$L$1000,"Pass"),COUNTIFS('User flow template'!$B$2:$B$1000,$A157,'User flow template'!$L$2:$L$1000,"Pass",'User flow template'!$D$2:$D$1000,$K$1)+COUNTIFS('User flow template'!$B$2:$B$1000,$A157,'User flow template'!$L$2:$L$1000,"Pass",'User flow template'!$D$2:$D$1000,"All sites")))</f>
        <v/>
      </c>
      <c r="F157" s="0" t="str">
        <f aca="false">IF($A157="","",IF($K$1="All sites",COUNTIFS('User flow template'!$B$2:$B$1000,$A157,'User flow template'!$L$2:$L$1000,"Fail"),COUNTIFS('User flow template'!$B$2:$B$1000,$A157,'User flow template'!$L$2:$L$1000,"Fail",'User flow template'!$D$2:$D$1000,$K$1)+COUNTIFS('User flow template'!$B$2:$B$1000,$A157,'User flow template'!$L$2:$L$1000,"Fail",'User flow template'!$D$2:$D$1000,"All sites")))</f>
        <v/>
      </c>
      <c r="G157" s="0" t="str">
        <f aca="false">IF($A157="","",IF($K$1="All sites",COUNTIFS('User flow template'!$B$2:$B$1000,$A157,'User flow template'!$L$2:$L$1000,"Blocked"),COUNTIFS('User flow template'!$B$2:$B$1000,$A157,'User flow template'!$L$2:$L$1000,"Blocked",'User flow template'!$D$2:$D$1000,$K$1)+COUNTIFS('User flow template'!$B$2:$B$1000,$A157,'User flow template'!$L$2:$L$1000,"Blocked",'User flow template'!$D$2:$D$1000,"All sites")))</f>
        <v/>
      </c>
      <c r="H157" s="0" t="str">
        <f aca="false">IF($A157="","",D157-E157-F157-G157)</f>
        <v/>
      </c>
    </row>
    <row r="158" customFormat="false" ht="15" hidden="false" customHeight="false" outlineLevel="0" collapsed="false">
      <c r="D158" s="0" t="str">
        <f aca="false">IF($A158="","",IF($K$1="All sites",COUNTIFS('User flow template'!$B$2:$B$1000,$A158),COUNTIFS('User flow template'!$B$2:$B$1000,$A158,'User flow template'!$D$2:$D$1000,$K$1)+COUNTIFS('User flow template'!$B$2:$B$1000,$A158,'User flow template'!$D$2:$D$1000,"All sites")))</f>
        <v/>
      </c>
      <c r="E158" s="49" t="str">
        <f aca="false">IF($A158="","",IF($K$1="All sites",COUNTIFS('User flow template'!$B$2:$B$1000,$A158,'User flow template'!$L$2:$L$1000,"Pass"),COUNTIFS('User flow template'!$B$2:$B$1000,$A158,'User flow template'!$L$2:$L$1000,"Pass",'User flow template'!$D$2:$D$1000,$K$1)+COUNTIFS('User flow template'!$B$2:$B$1000,$A158,'User flow template'!$L$2:$L$1000,"Pass",'User flow template'!$D$2:$D$1000,"All sites")))</f>
        <v/>
      </c>
      <c r="F158" s="0" t="str">
        <f aca="false">IF($A158="","",IF($K$1="All sites",COUNTIFS('User flow template'!$B$2:$B$1000,$A158,'User flow template'!$L$2:$L$1000,"Fail"),COUNTIFS('User flow template'!$B$2:$B$1000,$A158,'User flow template'!$L$2:$L$1000,"Fail",'User flow template'!$D$2:$D$1000,$K$1)+COUNTIFS('User flow template'!$B$2:$B$1000,$A158,'User flow template'!$L$2:$L$1000,"Fail",'User flow template'!$D$2:$D$1000,"All sites")))</f>
        <v/>
      </c>
      <c r="G158" s="0" t="str">
        <f aca="false">IF($A158="","",IF($K$1="All sites",COUNTIFS('User flow template'!$B$2:$B$1000,$A158,'User flow template'!$L$2:$L$1000,"Blocked"),COUNTIFS('User flow template'!$B$2:$B$1000,$A158,'User flow template'!$L$2:$L$1000,"Blocked",'User flow template'!$D$2:$D$1000,$K$1)+COUNTIFS('User flow template'!$B$2:$B$1000,$A158,'User flow template'!$L$2:$L$1000,"Blocked",'User flow template'!$D$2:$D$1000,"All sites")))</f>
        <v/>
      </c>
      <c r="H158" s="0" t="str">
        <f aca="false">IF($A158="","",D158-E158-F158-G158)</f>
        <v/>
      </c>
    </row>
    <row r="159" customFormat="false" ht="15" hidden="false" customHeight="false" outlineLevel="0" collapsed="false">
      <c r="D159" s="0" t="str">
        <f aca="false">IF($A159="","",IF($K$1="All sites",COUNTIFS('User flow template'!$B$2:$B$1000,$A159),COUNTIFS('User flow template'!$B$2:$B$1000,$A159,'User flow template'!$D$2:$D$1000,$K$1)+COUNTIFS('User flow template'!$B$2:$B$1000,$A159,'User flow template'!$D$2:$D$1000,"All sites")))</f>
        <v/>
      </c>
      <c r="E159" s="49" t="str">
        <f aca="false">IF($A159="","",IF($K$1="All sites",COUNTIFS('User flow template'!$B$2:$B$1000,$A159,'User flow template'!$L$2:$L$1000,"Pass"),COUNTIFS('User flow template'!$B$2:$B$1000,$A159,'User flow template'!$L$2:$L$1000,"Pass",'User flow template'!$D$2:$D$1000,$K$1)+COUNTIFS('User flow template'!$B$2:$B$1000,$A159,'User flow template'!$L$2:$L$1000,"Pass",'User flow template'!$D$2:$D$1000,"All sites")))</f>
        <v/>
      </c>
      <c r="F159" s="0" t="str">
        <f aca="false">IF($A159="","",IF($K$1="All sites",COUNTIFS('User flow template'!$B$2:$B$1000,$A159,'User flow template'!$L$2:$L$1000,"Fail"),COUNTIFS('User flow template'!$B$2:$B$1000,$A159,'User flow template'!$L$2:$L$1000,"Fail",'User flow template'!$D$2:$D$1000,$K$1)+COUNTIFS('User flow template'!$B$2:$B$1000,$A159,'User flow template'!$L$2:$L$1000,"Fail",'User flow template'!$D$2:$D$1000,"All sites")))</f>
        <v/>
      </c>
      <c r="G159" s="0" t="str">
        <f aca="false">IF($A159="","",IF($K$1="All sites",COUNTIFS('User flow template'!$B$2:$B$1000,$A159,'User flow template'!$L$2:$L$1000,"Blocked"),COUNTIFS('User flow template'!$B$2:$B$1000,$A159,'User flow template'!$L$2:$L$1000,"Blocked",'User flow template'!$D$2:$D$1000,$K$1)+COUNTIFS('User flow template'!$B$2:$B$1000,$A159,'User flow template'!$L$2:$L$1000,"Blocked",'User flow template'!$D$2:$D$1000,"All sites")))</f>
        <v/>
      </c>
      <c r="H159" s="0" t="str">
        <f aca="false">IF($A159="","",D159-E159-F159-G159)</f>
        <v/>
      </c>
    </row>
    <row r="160" customFormat="false" ht="15" hidden="false" customHeight="false" outlineLevel="0" collapsed="false">
      <c r="D160" s="0" t="str">
        <f aca="false">IF($A160="","",IF($K$1="All sites",COUNTIFS('User flow template'!$B$2:$B$1000,$A160),COUNTIFS('User flow template'!$B$2:$B$1000,$A160,'User flow template'!$D$2:$D$1000,$K$1)+COUNTIFS('User flow template'!$B$2:$B$1000,$A160,'User flow template'!$D$2:$D$1000,"All sites")))</f>
        <v/>
      </c>
      <c r="E160" s="49" t="str">
        <f aca="false">IF($A160="","",IF($K$1="All sites",COUNTIFS('User flow template'!$B$2:$B$1000,$A160,'User flow template'!$L$2:$L$1000,"Pass"),COUNTIFS('User flow template'!$B$2:$B$1000,$A160,'User flow template'!$L$2:$L$1000,"Pass",'User flow template'!$D$2:$D$1000,$K$1)+COUNTIFS('User flow template'!$B$2:$B$1000,$A160,'User flow template'!$L$2:$L$1000,"Pass",'User flow template'!$D$2:$D$1000,"All sites")))</f>
        <v/>
      </c>
      <c r="F160" s="0" t="str">
        <f aca="false">IF($A160="","",IF($K$1="All sites",COUNTIFS('User flow template'!$B$2:$B$1000,$A160,'User flow template'!$L$2:$L$1000,"Fail"),COUNTIFS('User flow template'!$B$2:$B$1000,$A160,'User flow template'!$L$2:$L$1000,"Fail",'User flow template'!$D$2:$D$1000,$K$1)+COUNTIFS('User flow template'!$B$2:$B$1000,$A160,'User flow template'!$L$2:$L$1000,"Fail",'User flow template'!$D$2:$D$1000,"All sites")))</f>
        <v/>
      </c>
      <c r="G160" s="0" t="str">
        <f aca="false">IF($A160="","",IF($K$1="All sites",COUNTIFS('User flow template'!$B$2:$B$1000,$A160,'User flow template'!$L$2:$L$1000,"Blocked"),COUNTIFS('User flow template'!$B$2:$B$1000,$A160,'User flow template'!$L$2:$L$1000,"Blocked",'User flow template'!$D$2:$D$1000,$K$1)+COUNTIFS('User flow template'!$B$2:$B$1000,$A160,'User flow template'!$L$2:$L$1000,"Blocked",'User flow template'!$D$2:$D$1000,"All sites")))</f>
        <v/>
      </c>
      <c r="H160" s="0" t="str">
        <f aca="false">IF($A160="","",D160-E160-F160-G160)</f>
        <v/>
      </c>
    </row>
    <row r="161" customFormat="false" ht="15" hidden="false" customHeight="false" outlineLevel="0" collapsed="false">
      <c r="D161" s="0" t="str">
        <f aca="false">IF($A161="","",IF($K$1="All sites",COUNTIFS('User flow template'!$B$2:$B$1000,$A161),COUNTIFS('User flow template'!$B$2:$B$1000,$A161,'User flow template'!$D$2:$D$1000,$K$1)+COUNTIFS('User flow template'!$B$2:$B$1000,$A161,'User flow template'!$D$2:$D$1000,"All sites")))</f>
        <v/>
      </c>
      <c r="E161" s="49" t="str">
        <f aca="false">IF($A161="","",IF($K$1="All sites",COUNTIFS('User flow template'!$B$2:$B$1000,$A161,'User flow template'!$L$2:$L$1000,"Pass"),COUNTIFS('User flow template'!$B$2:$B$1000,$A161,'User flow template'!$L$2:$L$1000,"Pass",'User flow template'!$D$2:$D$1000,$K$1)+COUNTIFS('User flow template'!$B$2:$B$1000,$A161,'User flow template'!$L$2:$L$1000,"Pass",'User flow template'!$D$2:$D$1000,"All sites")))</f>
        <v/>
      </c>
      <c r="F161" s="0" t="str">
        <f aca="false">IF($A161="","",IF($K$1="All sites",COUNTIFS('User flow template'!$B$2:$B$1000,$A161,'User flow template'!$L$2:$L$1000,"Fail"),COUNTIFS('User flow template'!$B$2:$B$1000,$A161,'User flow template'!$L$2:$L$1000,"Fail",'User flow template'!$D$2:$D$1000,$K$1)+COUNTIFS('User flow template'!$B$2:$B$1000,$A161,'User flow template'!$L$2:$L$1000,"Fail",'User flow template'!$D$2:$D$1000,"All sites")))</f>
        <v/>
      </c>
      <c r="G161" s="0" t="str">
        <f aca="false">IF($A161="","",IF($K$1="All sites",COUNTIFS('User flow template'!$B$2:$B$1000,$A161,'User flow template'!$L$2:$L$1000,"Blocked"),COUNTIFS('User flow template'!$B$2:$B$1000,$A161,'User flow template'!$L$2:$L$1000,"Blocked",'User flow template'!$D$2:$D$1000,$K$1)+COUNTIFS('User flow template'!$B$2:$B$1000,$A161,'User flow template'!$L$2:$L$1000,"Blocked",'User flow template'!$D$2:$D$1000,"All sites")))</f>
        <v/>
      </c>
      <c r="H161" s="0" t="str">
        <f aca="false">IF($A161="","",D161-E161-F161-G161)</f>
        <v/>
      </c>
    </row>
    <row r="162" customFormat="false" ht="15" hidden="false" customHeight="false" outlineLevel="0" collapsed="false">
      <c r="D162" s="0" t="str">
        <f aca="false">IF($A162="","",IF($K$1="All sites",COUNTIFS('User flow template'!$B$2:$B$1000,$A162),COUNTIFS('User flow template'!$B$2:$B$1000,$A162,'User flow template'!$D$2:$D$1000,$K$1)+COUNTIFS('User flow template'!$B$2:$B$1000,$A162,'User flow template'!$D$2:$D$1000,"All sites")))</f>
        <v/>
      </c>
      <c r="E162" s="49" t="str">
        <f aca="false">IF($A162="","",IF($K$1="All sites",COUNTIFS('User flow template'!$B$2:$B$1000,$A162,'User flow template'!$L$2:$L$1000,"Pass"),COUNTIFS('User flow template'!$B$2:$B$1000,$A162,'User flow template'!$L$2:$L$1000,"Pass",'User flow template'!$D$2:$D$1000,$K$1)+COUNTIFS('User flow template'!$B$2:$B$1000,$A162,'User flow template'!$L$2:$L$1000,"Pass",'User flow template'!$D$2:$D$1000,"All sites")))</f>
        <v/>
      </c>
      <c r="F162" s="0" t="str">
        <f aca="false">IF($A162="","",IF($K$1="All sites",COUNTIFS('User flow template'!$B$2:$B$1000,$A162,'User flow template'!$L$2:$L$1000,"Fail"),COUNTIFS('User flow template'!$B$2:$B$1000,$A162,'User flow template'!$L$2:$L$1000,"Fail",'User flow template'!$D$2:$D$1000,$K$1)+COUNTIFS('User flow template'!$B$2:$B$1000,$A162,'User flow template'!$L$2:$L$1000,"Fail",'User flow template'!$D$2:$D$1000,"All sites")))</f>
        <v/>
      </c>
      <c r="G162" s="0" t="str">
        <f aca="false">IF($A162="","",IF($K$1="All sites",COUNTIFS('User flow template'!$B$2:$B$1000,$A162,'User flow template'!$L$2:$L$1000,"Blocked"),COUNTIFS('User flow template'!$B$2:$B$1000,$A162,'User flow template'!$L$2:$L$1000,"Blocked",'User flow template'!$D$2:$D$1000,$K$1)+COUNTIFS('User flow template'!$B$2:$B$1000,$A162,'User flow template'!$L$2:$L$1000,"Blocked",'User flow template'!$D$2:$D$1000,"All sites")))</f>
        <v/>
      </c>
      <c r="H162" s="0" t="str">
        <f aca="false">IF($A162="","",D162-E162-F162-G162)</f>
        <v/>
      </c>
    </row>
    <row r="163" customFormat="false" ht="15" hidden="false" customHeight="false" outlineLevel="0" collapsed="false">
      <c r="D163" s="0" t="str">
        <f aca="false">IF($A163="","",IF($K$1="All sites",COUNTIFS('User flow template'!$B$2:$B$1000,$A163),COUNTIFS('User flow template'!$B$2:$B$1000,$A163,'User flow template'!$D$2:$D$1000,$K$1)+COUNTIFS('User flow template'!$B$2:$B$1000,$A163,'User flow template'!$D$2:$D$1000,"All sites")))</f>
        <v/>
      </c>
      <c r="E163" s="49" t="str">
        <f aca="false">IF($A163="","",IF($K$1="All sites",COUNTIFS('User flow template'!$B$2:$B$1000,$A163,'User flow template'!$L$2:$L$1000,"Pass"),COUNTIFS('User flow template'!$B$2:$B$1000,$A163,'User flow template'!$L$2:$L$1000,"Pass",'User flow template'!$D$2:$D$1000,$K$1)+COUNTIFS('User flow template'!$B$2:$B$1000,$A163,'User flow template'!$L$2:$L$1000,"Pass",'User flow template'!$D$2:$D$1000,"All sites")))</f>
        <v/>
      </c>
      <c r="F163" s="0" t="str">
        <f aca="false">IF($A163="","",IF($K$1="All sites",COUNTIFS('User flow template'!$B$2:$B$1000,$A163,'User flow template'!$L$2:$L$1000,"Fail"),COUNTIFS('User flow template'!$B$2:$B$1000,$A163,'User flow template'!$L$2:$L$1000,"Fail",'User flow template'!$D$2:$D$1000,$K$1)+COUNTIFS('User flow template'!$B$2:$B$1000,$A163,'User flow template'!$L$2:$L$1000,"Fail",'User flow template'!$D$2:$D$1000,"All sites")))</f>
        <v/>
      </c>
      <c r="G163" s="0" t="str">
        <f aca="false">IF($A163="","",IF($K$1="All sites",COUNTIFS('User flow template'!$B$2:$B$1000,$A163,'User flow template'!$L$2:$L$1000,"Blocked"),COUNTIFS('User flow template'!$B$2:$B$1000,$A163,'User flow template'!$L$2:$L$1000,"Blocked",'User flow template'!$D$2:$D$1000,$K$1)+COUNTIFS('User flow template'!$B$2:$B$1000,$A163,'User flow template'!$L$2:$L$1000,"Blocked",'User flow template'!$D$2:$D$1000,"All sites")))</f>
        <v/>
      </c>
      <c r="H163" s="0" t="str">
        <f aca="false">IF($A163="","",D163-E163-F163-G163)</f>
        <v/>
      </c>
    </row>
    <row r="164" customFormat="false" ht="15" hidden="false" customHeight="false" outlineLevel="0" collapsed="false">
      <c r="D164" s="0" t="str">
        <f aca="false">IF($A164="","",IF($K$1="All sites",COUNTIFS('User flow template'!$B$2:$B$1000,$A164),COUNTIFS('User flow template'!$B$2:$B$1000,$A164,'User flow template'!$D$2:$D$1000,$K$1)+COUNTIFS('User flow template'!$B$2:$B$1000,$A164,'User flow template'!$D$2:$D$1000,"All sites")))</f>
        <v/>
      </c>
      <c r="E164" s="49" t="str">
        <f aca="false">IF($A164="","",IF($K$1="All sites",COUNTIFS('User flow template'!$B$2:$B$1000,$A164,'User flow template'!$L$2:$L$1000,"Pass"),COUNTIFS('User flow template'!$B$2:$B$1000,$A164,'User flow template'!$L$2:$L$1000,"Pass",'User flow template'!$D$2:$D$1000,$K$1)+COUNTIFS('User flow template'!$B$2:$B$1000,$A164,'User flow template'!$L$2:$L$1000,"Pass",'User flow template'!$D$2:$D$1000,"All sites")))</f>
        <v/>
      </c>
      <c r="F164" s="0" t="str">
        <f aca="false">IF($A164="","",IF($K$1="All sites",COUNTIFS('User flow template'!$B$2:$B$1000,$A164,'User flow template'!$L$2:$L$1000,"Fail"),COUNTIFS('User flow template'!$B$2:$B$1000,$A164,'User flow template'!$L$2:$L$1000,"Fail",'User flow template'!$D$2:$D$1000,$K$1)+COUNTIFS('User flow template'!$B$2:$B$1000,$A164,'User flow template'!$L$2:$L$1000,"Fail",'User flow template'!$D$2:$D$1000,"All sites")))</f>
        <v/>
      </c>
      <c r="G164" s="0" t="str">
        <f aca="false">IF($A164="","",IF($K$1="All sites",COUNTIFS('User flow template'!$B$2:$B$1000,$A164,'User flow template'!$L$2:$L$1000,"Blocked"),COUNTIFS('User flow template'!$B$2:$B$1000,$A164,'User flow template'!$L$2:$L$1000,"Blocked",'User flow template'!$D$2:$D$1000,$K$1)+COUNTIFS('User flow template'!$B$2:$B$1000,$A164,'User flow template'!$L$2:$L$1000,"Blocked",'User flow template'!$D$2:$D$1000,"All sites")))</f>
        <v/>
      </c>
      <c r="H164" s="0" t="str">
        <f aca="false">IF($A164="","",D164-E164-F164-G164)</f>
        <v/>
      </c>
    </row>
    <row r="165" customFormat="false" ht="15" hidden="false" customHeight="false" outlineLevel="0" collapsed="false">
      <c r="D165" s="0" t="str">
        <f aca="false">IF($A165="","",IF($K$1="All sites",COUNTIFS('User flow template'!$B$2:$B$1000,$A165),COUNTIFS('User flow template'!$B$2:$B$1000,$A165,'User flow template'!$D$2:$D$1000,$K$1)+COUNTIFS('User flow template'!$B$2:$B$1000,$A165,'User flow template'!$D$2:$D$1000,"All sites")))</f>
        <v/>
      </c>
      <c r="E165" s="49" t="str">
        <f aca="false">IF($A165="","",IF($K$1="All sites",COUNTIFS('User flow template'!$B$2:$B$1000,$A165,'User flow template'!$L$2:$L$1000,"Pass"),COUNTIFS('User flow template'!$B$2:$B$1000,$A165,'User flow template'!$L$2:$L$1000,"Pass",'User flow template'!$D$2:$D$1000,$K$1)+COUNTIFS('User flow template'!$B$2:$B$1000,$A165,'User flow template'!$L$2:$L$1000,"Pass",'User flow template'!$D$2:$D$1000,"All sites")))</f>
        <v/>
      </c>
      <c r="F165" s="0" t="str">
        <f aca="false">IF($A165="","",IF($K$1="All sites",COUNTIFS('User flow template'!$B$2:$B$1000,$A165,'User flow template'!$L$2:$L$1000,"Fail"),COUNTIFS('User flow template'!$B$2:$B$1000,$A165,'User flow template'!$L$2:$L$1000,"Fail",'User flow template'!$D$2:$D$1000,$K$1)+COUNTIFS('User flow template'!$B$2:$B$1000,$A165,'User flow template'!$L$2:$L$1000,"Fail",'User flow template'!$D$2:$D$1000,"All sites")))</f>
        <v/>
      </c>
      <c r="G165" s="0" t="str">
        <f aca="false">IF($A165="","",IF($K$1="All sites",COUNTIFS('User flow template'!$B$2:$B$1000,$A165,'User flow template'!$L$2:$L$1000,"Blocked"),COUNTIFS('User flow template'!$B$2:$B$1000,$A165,'User flow template'!$L$2:$L$1000,"Blocked",'User flow template'!$D$2:$D$1000,$K$1)+COUNTIFS('User flow template'!$B$2:$B$1000,$A165,'User flow template'!$L$2:$L$1000,"Blocked",'User flow template'!$D$2:$D$1000,"All sites")))</f>
        <v/>
      </c>
      <c r="H165" s="0" t="str">
        <f aca="false">IF($A165="","",D165-E165-F165-G165)</f>
        <v/>
      </c>
    </row>
    <row r="166" customFormat="false" ht="15" hidden="false" customHeight="false" outlineLevel="0" collapsed="false">
      <c r="D166" s="0" t="str">
        <f aca="false">IF($A166="","",IF($K$1="All sites",COUNTIFS('User flow template'!$B$2:$B$1000,$A166),COUNTIFS('User flow template'!$B$2:$B$1000,$A166,'User flow template'!$D$2:$D$1000,$K$1)+COUNTIFS('User flow template'!$B$2:$B$1000,$A166,'User flow template'!$D$2:$D$1000,"All sites")))</f>
        <v/>
      </c>
      <c r="E166" s="49" t="str">
        <f aca="false">IF($A166="","",IF($K$1="All sites",COUNTIFS('User flow template'!$B$2:$B$1000,$A166,'User flow template'!$L$2:$L$1000,"Pass"),COUNTIFS('User flow template'!$B$2:$B$1000,$A166,'User flow template'!$L$2:$L$1000,"Pass",'User flow template'!$D$2:$D$1000,$K$1)+COUNTIFS('User flow template'!$B$2:$B$1000,$A166,'User flow template'!$L$2:$L$1000,"Pass",'User flow template'!$D$2:$D$1000,"All sites")))</f>
        <v/>
      </c>
      <c r="F166" s="0" t="str">
        <f aca="false">IF($A166="","",IF($K$1="All sites",COUNTIFS('User flow template'!$B$2:$B$1000,$A166,'User flow template'!$L$2:$L$1000,"Fail"),COUNTIFS('User flow template'!$B$2:$B$1000,$A166,'User flow template'!$L$2:$L$1000,"Fail",'User flow template'!$D$2:$D$1000,$K$1)+COUNTIFS('User flow template'!$B$2:$B$1000,$A166,'User flow template'!$L$2:$L$1000,"Fail",'User flow template'!$D$2:$D$1000,"All sites")))</f>
        <v/>
      </c>
      <c r="G166" s="0" t="str">
        <f aca="false">IF($A166="","",IF($K$1="All sites",COUNTIFS('User flow template'!$B$2:$B$1000,$A166,'User flow template'!$L$2:$L$1000,"Blocked"),COUNTIFS('User flow template'!$B$2:$B$1000,$A166,'User flow template'!$L$2:$L$1000,"Blocked",'User flow template'!$D$2:$D$1000,$K$1)+COUNTIFS('User flow template'!$B$2:$B$1000,$A166,'User flow template'!$L$2:$L$1000,"Blocked",'User flow template'!$D$2:$D$1000,"All sites")))</f>
        <v/>
      </c>
      <c r="H166" s="0" t="str">
        <f aca="false">IF($A166="","",D166-E166-F166-G166)</f>
        <v/>
      </c>
    </row>
    <row r="167" customFormat="false" ht="15" hidden="false" customHeight="false" outlineLevel="0" collapsed="false">
      <c r="D167" s="0" t="str">
        <f aca="false">IF($A167="","",IF($K$1="All sites",COUNTIFS('User flow template'!$B$2:$B$1000,$A167),COUNTIFS('User flow template'!$B$2:$B$1000,$A167,'User flow template'!$D$2:$D$1000,$K$1)+COUNTIFS('User flow template'!$B$2:$B$1000,$A167,'User flow template'!$D$2:$D$1000,"All sites")))</f>
        <v/>
      </c>
      <c r="E167" s="49" t="str">
        <f aca="false">IF($A167="","",IF($K$1="All sites",COUNTIFS('User flow template'!$B$2:$B$1000,$A167,'User flow template'!$L$2:$L$1000,"Pass"),COUNTIFS('User flow template'!$B$2:$B$1000,$A167,'User flow template'!$L$2:$L$1000,"Pass",'User flow template'!$D$2:$D$1000,$K$1)+COUNTIFS('User flow template'!$B$2:$B$1000,$A167,'User flow template'!$L$2:$L$1000,"Pass",'User flow template'!$D$2:$D$1000,"All sites")))</f>
        <v/>
      </c>
      <c r="F167" s="0" t="str">
        <f aca="false">IF($A167="","",IF($K$1="All sites",COUNTIFS('User flow template'!$B$2:$B$1000,$A167,'User flow template'!$L$2:$L$1000,"Fail"),COUNTIFS('User flow template'!$B$2:$B$1000,$A167,'User flow template'!$L$2:$L$1000,"Fail",'User flow template'!$D$2:$D$1000,$K$1)+COUNTIFS('User flow template'!$B$2:$B$1000,$A167,'User flow template'!$L$2:$L$1000,"Fail",'User flow template'!$D$2:$D$1000,"All sites")))</f>
        <v/>
      </c>
      <c r="G167" s="0" t="str">
        <f aca="false">IF($A167="","",IF($K$1="All sites",COUNTIFS('User flow template'!$B$2:$B$1000,$A167,'User flow template'!$L$2:$L$1000,"Blocked"),COUNTIFS('User flow template'!$B$2:$B$1000,$A167,'User flow template'!$L$2:$L$1000,"Blocked",'User flow template'!$D$2:$D$1000,$K$1)+COUNTIFS('User flow template'!$B$2:$B$1000,$A167,'User flow template'!$L$2:$L$1000,"Blocked",'User flow template'!$D$2:$D$1000,"All sites")))</f>
        <v/>
      </c>
      <c r="H167" s="0" t="str">
        <f aca="false">IF($A167="","",D167-E167-F167-G167)</f>
        <v/>
      </c>
    </row>
    <row r="168" customFormat="false" ht="15" hidden="false" customHeight="false" outlineLevel="0" collapsed="false">
      <c r="D168" s="0" t="str">
        <f aca="false">IF($A168="","",IF($K$1="All sites",COUNTIFS('User flow template'!$B$2:$B$1000,$A168),COUNTIFS('User flow template'!$B$2:$B$1000,$A168,'User flow template'!$D$2:$D$1000,$K$1)+COUNTIFS('User flow template'!$B$2:$B$1000,$A168,'User flow template'!$D$2:$D$1000,"All sites")))</f>
        <v/>
      </c>
      <c r="E168" s="49" t="str">
        <f aca="false">IF($A168="","",IF($K$1="All sites",COUNTIFS('User flow template'!$B$2:$B$1000,$A168,'User flow template'!$L$2:$L$1000,"Pass"),COUNTIFS('User flow template'!$B$2:$B$1000,$A168,'User flow template'!$L$2:$L$1000,"Pass",'User flow template'!$D$2:$D$1000,$K$1)+COUNTIFS('User flow template'!$B$2:$B$1000,$A168,'User flow template'!$L$2:$L$1000,"Pass",'User flow template'!$D$2:$D$1000,"All sites")))</f>
        <v/>
      </c>
      <c r="F168" s="0" t="str">
        <f aca="false">IF($A168="","",IF($K$1="All sites",COUNTIFS('User flow template'!$B$2:$B$1000,$A168,'User flow template'!$L$2:$L$1000,"Fail"),COUNTIFS('User flow template'!$B$2:$B$1000,$A168,'User flow template'!$L$2:$L$1000,"Fail",'User flow template'!$D$2:$D$1000,$K$1)+COUNTIFS('User flow template'!$B$2:$B$1000,$A168,'User flow template'!$L$2:$L$1000,"Fail",'User flow template'!$D$2:$D$1000,"All sites")))</f>
        <v/>
      </c>
      <c r="G168" s="0" t="str">
        <f aca="false">IF($A168="","",IF($K$1="All sites",COUNTIFS('User flow template'!$B$2:$B$1000,$A168,'User flow template'!$L$2:$L$1000,"Blocked"),COUNTIFS('User flow template'!$B$2:$B$1000,$A168,'User flow template'!$L$2:$L$1000,"Blocked",'User flow template'!$D$2:$D$1000,$K$1)+COUNTIFS('User flow template'!$B$2:$B$1000,$A168,'User flow template'!$L$2:$L$1000,"Blocked",'User flow template'!$D$2:$D$1000,"All sites")))</f>
        <v/>
      </c>
      <c r="H168" s="0" t="str">
        <f aca="false">IF($A168="","",D168-E168-F168-G168)</f>
        <v/>
      </c>
    </row>
    <row r="169" customFormat="false" ht="15" hidden="false" customHeight="false" outlineLevel="0" collapsed="false">
      <c r="D169" s="0" t="str">
        <f aca="false">IF($A169="","",IF($K$1="All sites",COUNTIFS('User flow template'!$B$2:$B$1000,$A169),COUNTIFS('User flow template'!$B$2:$B$1000,$A169,'User flow template'!$D$2:$D$1000,$K$1)+COUNTIFS('User flow template'!$B$2:$B$1000,$A169,'User flow template'!$D$2:$D$1000,"All sites")))</f>
        <v/>
      </c>
      <c r="E169" s="49" t="str">
        <f aca="false">IF($A169="","",IF($K$1="All sites",COUNTIFS('User flow template'!$B$2:$B$1000,$A169,'User flow template'!$L$2:$L$1000,"Pass"),COUNTIFS('User flow template'!$B$2:$B$1000,$A169,'User flow template'!$L$2:$L$1000,"Pass",'User flow template'!$D$2:$D$1000,$K$1)+COUNTIFS('User flow template'!$B$2:$B$1000,$A169,'User flow template'!$L$2:$L$1000,"Pass",'User flow template'!$D$2:$D$1000,"All sites")))</f>
        <v/>
      </c>
      <c r="F169" s="0" t="str">
        <f aca="false">IF($A169="","",IF($K$1="All sites",COUNTIFS('User flow template'!$B$2:$B$1000,$A169,'User flow template'!$L$2:$L$1000,"Fail"),COUNTIFS('User flow template'!$B$2:$B$1000,$A169,'User flow template'!$L$2:$L$1000,"Fail",'User flow template'!$D$2:$D$1000,$K$1)+COUNTIFS('User flow template'!$B$2:$B$1000,$A169,'User flow template'!$L$2:$L$1000,"Fail",'User flow template'!$D$2:$D$1000,"All sites")))</f>
        <v/>
      </c>
      <c r="G169" s="0" t="str">
        <f aca="false">IF($A169="","",IF($K$1="All sites",COUNTIFS('User flow template'!$B$2:$B$1000,$A169,'User flow template'!$L$2:$L$1000,"Blocked"),COUNTIFS('User flow template'!$B$2:$B$1000,$A169,'User flow template'!$L$2:$L$1000,"Blocked",'User flow template'!$D$2:$D$1000,$K$1)+COUNTIFS('User flow template'!$B$2:$B$1000,$A169,'User flow template'!$L$2:$L$1000,"Blocked",'User flow template'!$D$2:$D$1000,"All sites")))</f>
        <v/>
      </c>
      <c r="H169" s="0" t="str">
        <f aca="false">IF($A169="","",D169-E169-F169-G169)</f>
        <v/>
      </c>
    </row>
    <row r="170" customFormat="false" ht="15" hidden="false" customHeight="false" outlineLevel="0" collapsed="false">
      <c r="D170" s="0" t="str">
        <f aca="false">IF($A170="","",IF($K$1="All sites",COUNTIFS('User flow template'!$B$2:$B$1000,$A170),COUNTIFS('User flow template'!$B$2:$B$1000,$A170,'User flow template'!$D$2:$D$1000,$K$1)+COUNTIFS('User flow template'!$B$2:$B$1000,$A170,'User flow template'!$D$2:$D$1000,"All sites")))</f>
        <v/>
      </c>
      <c r="E170" s="49" t="str">
        <f aca="false">IF($A170="","",IF($K$1="All sites",COUNTIFS('User flow template'!$B$2:$B$1000,$A170,'User flow template'!$L$2:$L$1000,"Pass"),COUNTIFS('User flow template'!$B$2:$B$1000,$A170,'User flow template'!$L$2:$L$1000,"Pass",'User flow template'!$D$2:$D$1000,$K$1)+COUNTIFS('User flow template'!$B$2:$B$1000,$A170,'User flow template'!$L$2:$L$1000,"Pass",'User flow template'!$D$2:$D$1000,"All sites")))</f>
        <v/>
      </c>
      <c r="F170" s="0" t="str">
        <f aca="false">IF($A170="","",IF($K$1="All sites",COUNTIFS('User flow template'!$B$2:$B$1000,$A170,'User flow template'!$L$2:$L$1000,"Fail"),COUNTIFS('User flow template'!$B$2:$B$1000,$A170,'User flow template'!$L$2:$L$1000,"Fail",'User flow template'!$D$2:$D$1000,$K$1)+COUNTIFS('User flow template'!$B$2:$B$1000,$A170,'User flow template'!$L$2:$L$1000,"Fail",'User flow template'!$D$2:$D$1000,"All sites")))</f>
        <v/>
      </c>
      <c r="G170" s="0" t="str">
        <f aca="false">IF($A170="","",IF($K$1="All sites",COUNTIFS('User flow template'!$B$2:$B$1000,$A170,'User flow template'!$L$2:$L$1000,"Blocked"),COUNTIFS('User flow template'!$B$2:$B$1000,$A170,'User flow template'!$L$2:$L$1000,"Blocked",'User flow template'!$D$2:$D$1000,$K$1)+COUNTIFS('User flow template'!$B$2:$B$1000,$A170,'User flow template'!$L$2:$L$1000,"Blocked",'User flow template'!$D$2:$D$1000,"All sites")))</f>
        <v/>
      </c>
      <c r="H170" s="0" t="str">
        <f aca="false">IF($A170="","",D170-E170-F170-G170)</f>
        <v/>
      </c>
    </row>
    <row r="171" customFormat="false" ht="15" hidden="false" customHeight="false" outlineLevel="0" collapsed="false">
      <c r="D171" s="0" t="str">
        <f aca="false">IF($A171="","",IF($K$1="All sites",COUNTIFS('User flow template'!$B$2:$B$1000,$A171),COUNTIFS('User flow template'!$B$2:$B$1000,$A171,'User flow template'!$D$2:$D$1000,$K$1)+COUNTIFS('User flow template'!$B$2:$B$1000,$A171,'User flow template'!$D$2:$D$1000,"All sites")))</f>
        <v/>
      </c>
      <c r="E171" s="49" t="str">
        <f aca="false">IF($A171="","",IF($K$1="All sites",COUNTIFS('User flow template'!$B$2:$B$1000,$A171,'User flow template'!$L$2:$L$1000,"Pass"),COUNTIFS('User flow template'!$B$2:$B$1000,$A171,'User flow template'!$L$2:$L$1000,"Pass",'User flow template'!$D$2:$D$1000,$K$1)+COUNTIFS('User flow template'!$B$2:$B$1000,$A171,'User flow template'!$L$2:$L$1000,"Pass",'User flow template'!$D$2:$D$1000,"All sites")))</f>
        <v/>
      </c>
      <c r="F171" s="0" t="str">
        <f aca="false">IF($A171="","",IF($K$1="All sites",COUNTIFS('User flow template'!$B$2:$B$1000,$A171,'User flow template'!$L$2:$L$1000,"Fail"),COUNTIFS('User flow template'!$B$2:$B$1000,$A171,'User flow template'!$L$2:$L$1000,"Fail",'User flow template'!$D$2:$D$1000,$K$1)+COUNTIFS('User flow template'!$B$2:$B$1000,$A171,'User flow template'!$L$2:$L$1000,"Fail",'User flow template'!$D$2:$D$1000,"All sites")))</f>
        <v/>
      </c>
      <c r="G171" s="0" t="str">
        <f aca="false">IF($A171="","",IF($K$1="All sites",COUNTIFS('User flow template'!$B$2:$B$1000,$A171,'User flow template'!$L$2:$L$1000,"Blocked"),COUNTIFS('User flow template'!$B$2:$B$1000,$A171,'User flow template'!$L$2:$L$1000,"Blocked",'User flow template'!$D$2:$D$1000,$K$1)+COUNTIFS('User flow template'!$B$2:$B$1000,$A171,'User flow template'!$L$2:$L$1000,"Blocked",'User flow template'!$D$2:$D$1000,"All sites")))</f>
        <v/>
      </c>
      <c r="H171" s="0" t="str">
        <f aca="false">IF($A171="","",D171-E171-F171-G171)</f>
        <v/>
      </c>
    </row>
    <row r="172" customFormat="false" ht="15" hidden="false" customHeight="false" outlineLevel="0" collapsed="false">
      <c r="D172" s="0" t="str">
        <f aca="false">IF($A172="","",IF($K$1="All sites",COUNTIFS('User flow template'!$B$2:$B$1000,$A172),COUNTIFS('User flow template'!$B$2:$B$1000,$A172,'User flow template'!$D$2:$D$1000,$K$1)+COUNTIFS('User flow template'!$B$2:$B$1000,$A172,'User flow template'!$D$2:$D$1000,"All sites")))</f>
        <v/>
      </c>
      <c r="E172" s="49" t="str">
        <f aca="false">IF($A172="","",IF($K$1="All sites",COUNTIFS('User flow template'!$B$2:$B$1000,$A172,'User flow template'!$L$2:$L$1000,"Pass"),COUNTIFS('User flow template'!$B$2:$B$1000,$A172,'User flow template'!$L$2:$L$1000,"Pass",'User flow template'!$D$2:$D$1000,$K$1)+COUNTIFS('User flow template'!$B$2:$B$1000,$A172,'User flow template'!$L$2:$L$1000,"Pass",'User flow template'!$D$2:$D$1000,"All sites")))</f>
        <v/>
      </c>
      <c r="F172" s="0" t="str">
        <f aca="false">IF($A172="","",IF($K$1="All sites",COUNTIFS('User flow template'!$B$2:$B$1000,$A172,'User flow template'!$L$2:$L$1000,"Fail"),COUNTIFS('User flow template'!$B$2:$B$1000,$A172,'User flow template'!$L$2:$L$1000,"Fail",'User flow template'!$D$2:$D$1000,$K$1)+COUNTIFS('User flow template'!$B$2:$B$1000,$A172,'User flow template'!$L$2:$L$1000,"Fail",'User flow template'!$D$2:$D$1000,"All sites")))</f>
        <v/>
      </c>
      <c r="G172" s="0" t="str">
        <f aca="false">IF($A172="","",IF($K$1="All sites",COUNTIFS('User flow template'!$B$2:$B$1000,$A172,'User flow template'!$L$2:$L$1000,"Blocked"),COUNTIFS('User flow template'!$B$2:$B$1000,$A172,'User flow template'!$L$2:$L$1000,"Blocked",'User flow template'!$D$2:$D$1000,$K$1)+COUNTIFS('User flow template'!$B$2:$B$1000,$A172,'User flow template'!$L$2:$L$1000,"Blocked",'User flow template'!$D$2:$D$1000,"All sites")))</f>
        <v/>
      </c>
      <c r="H172" s="0" t="str">
        <f aca="false">IF($A172="","",D172-E172-F172-G172)</f>
        <v/>
      </c>
    </row>
    <row r="173" customFormat="false" ht="15" hidden="false" customHeight="false" outlineLevel="0" collapsed="false">
      <c r="D173" s="0" t="str">
        <f aca="false">IF($A173="","",IF($K$1="All sites",COUNTIFS('User flow template'!$B$2:$B$1000,$A173),COUNTIFS('User flow template'!$B$2:$B$1000,$A173,'User flow template'!$D$2:$D$1000,$K$1)+COUNTIFS('User flow template'!$B$2:$B$1000,$A173,'User flow template'!$D$2:$D$1000,"All sites")))</f>
        <v/>
      </c>
      <c r="E173" s="49" t="str">
        <f aca="false">IF($A173="","",IF($K$1="All sites",COUNTIFS('User flow template'!$B$2:$B$1000,$A173,'User flow template'!$L$2:$L$1000,"Pass"),COUNTIFS('User flow template'!$B$2:$B$1000,$A173,'User flow template'!$L$2:$L$1000,"Pass",'User flow template'!$D$2:$D$1000,$K$1)+COUNTIFS('User flow template'!$B$2:$B$1000,$A173,'User flow template'!$L$2:$L$1000,"Pass",'User flow template'!$D$2:$D$1000,"All sites")))</f>
        <v/>
      </c>
      <c r="F173" s="0" t="str">
        <f aca="false">IF($A173="","",IF($K$1="All sites",COUNTIFS('User flow template'!$B$2:$B$1000,$A173,'User flow template'!$L$2:$L$1000,"Fail"),COUNTIFS('User flow template'!$B$2:$B$1000,$A173,'User flow template'!$L$2:$L$1000,"Fail",'User flow template'!$D$2:$D$1000,$K$1)+COUNTIFS('User flow template'!$B$2:$B$1000,$A173,'User flow template'!$L$2:$L$1000,"Fail",'User flow template'!$D$2:$D$1000,"All sites")))</f>
        <v/>
      </c>
      <c r="G173" s="0" t="str">
        <f aca="false">IF($A173="","",IF($K$1="All sites",COUNTIFS('User flow template'!$B$2:$B$1000,$A173,'User flow template'!$L$2:$L$1000,"Blocked"),COUNTIFS('User flow template'!$B$2:$B$1000,$A173,'User flow template'!$L$2:$L$1000,"Blocked",'User flow template'!$D$2:$D$1000,$K$1)+COUNTIFS('User flow template'!$B$2:$B$1000,$A173,'User flow template'!$L$2:$L$1000,"Blocked",'User flow template'!$D$2:$D$1000,"All sites")))</f>
        <v/>
      </c>
      <c r="H173" s="0" t="str">
        <f aca="false">IF($A173="","",D173-E173-F173-G173)</f>
        <v/>
      </c>
    </row>
    <row r="174" customFormat="false" ht="15" hidden="false" customHeight="false" outlineLevel="0" collapsed="false">
      <c r="D174" s="0" t="str">
        <f aca="false">IF($A174="","",IF($K$1="All sites",COUNTIFS('User flow template'!$B$2:$B$1000,$A174),COUNTIFS('User flow template'!$B$2:$B$1000,$A174,'User flow template'!$D$2:$D$1000,$K$1)+COUNTIFS('User flow template'!$B$2:$B$1000,$A174,'User flow template'!$D$2:$D$1000,"All sites")))</f>
        <v/>
      </c>
      <c r="E174" s="49" t="str">
        <f aca="false">IF($A174="","",IF($K$1="All sites",COUNTIFS('User flow template'!$B$2:$B$1000,$A174,'User flow template'!$L$2:$L$1000,"Pass"),COUNTIFS('User flow template'!$B$2:$B$1000,$A174,'User flow template'!$L$2:$L$1000,"Pass",'User flow template'!$D$2:$D$1000,$K$1)+COUNTIFS('User flow template'!$B$2:$B$1000,$A174,'User flow template'!$L$2:$L$1000,"Pass",'User flow template'!$D$2:$D$1000,"All sites")))</f>
        <v/>
      </c>
      <c r="F174" s="0" t="str">
        <f aca="false">IF($A174="","",IF($K$1="All sites",COUNTIFS('User flow template'!$B$2:$B$1000,$A174,'User flow template'!$L$2:$L$1000,"Fail"),COUNTIFS('User flow template'!$B$2:$B$1000,$A174,'User flow template'!$L$2:$L$1000,"Fail",'User flow template'!$D$2:$D$1000,$K$1)+COUNTIFS('User flow template'!$B$2:$B$1000,$A174,'User flow template'!$L$2:$L$1000,"Fail",'User flow template'!$D$2:$D$1000,"All sites")))</f>
        <v/>
      </c>
      <c r="G174" s="0" t="str">
        <f aca="false">IF($A174="","",IF($K$1="All sites",COUNTIFS('User flow template'!$B$2:$B$1000,$A174,'User flow template'!$L$2:$L$1000,"Blocked"),COUNTIFS('User flow template'!$B$2:$B$1000,$A174,'User flow template'!$L$2:$L$1000,"Blocked",'User flow template'!$D$2:$D$1000,$K$1)+COUNTIFS('User flow template'!$B$2:$B$1000,$A174,'User flow template'!$L$2:$L$1000,"Blocked",'User flow template'!$D$2:$D$1000,"All sites")))</f>
        <v/>
      </c>
      <c r="H174" s="0" t="str">
        <f aca="false">IF($A174="","",D174-E174-F174-G174)</f>
        <v/>
      </c>
    </row>
    <row r="175" customFormat="false" ht="15" hidden="false" customHeight="false" outlineLevel="0" collapsed="false">
      <c r="D175" s="0" t="str">
        <f aca="false">IF($A175="","",IF($K$1="All sites",COUNTIFS('User flow template'!$B$2:$B$1000,$A175),COUNTIFS('User flow template'!$B$2:$B$1000,$A175,'User flow template'!$D$2:$D$1000,$K$1)+COUNTIFS('User flow template'!$B$2:$B$1000,$A175,'User flow template'!$D$2:$D$1000,"All sites")))</f>
        <v/>
      </c>
      <c r="E175" s="49" t="str">
        <f aca="false">IF($A175="","",IF($K$1="All sites",COUNTIFS('User flow template'!$B$2:$B$1000,$A175,'User flow template'!$L$2:$L$1000,"Pass"),COUNTIFS('User flow template'!$B$2:$B$1000,$A175,'User flow template'!$L$2:$L$1000,"Pass",'User flow template'!$D$2:$D$1000,$K$1)+COUNTIFS('User flow template'!$B$2:$B$1000,$A175,'User flow template'!$L$2:$L$1000,"Pass",'User flow template'!$D$2:$D$1000,"All sites")))</f>
        <v/>
      </c>
      <c r="F175" s="0" t="str">
        <f aca="false">IF($A175="","",IF($K$1="All sites",COUNTIFS('User flow template'!$B$2:$B$1000,$A175,'User flow template'!$L$2:$L$1000,"Fail"),COUNTIFS('User flow template'!$B$2:$B$1000,$A175,'User flow template'!$L$2:$L$1000,"Fail",'User flow template'!$D$2:$D$1000,$K$1)+COUNTIFS('User flow template'!$B$2:$B$1000,$A175,'User flow template'!$L$2:$L$1000,"Fail",'User flow template'!$D$2:$D$1000,"All sites")))</f>
        <v/>
      </c>
      <c r="G175" s="0" t="str">
        <f aca="false">IF($A175="","",IF($K$1="All sites",COUNTIFS('User flow template'!$B$2:$B$1000,$A175,'User flow template'!$L$2:$L$1000,"Blocked"),COUNTIFS('User flow template'!$B$2:$B$1000,$A175,'User flow template'!$L$2:$L$1000,"Blocked",'User flow template'!$D$2:$D$1000,$K$1)+COUNTIFS('User flow template'!$B$2:$B$1000,$A175,'User flow template'!$L$2:$L$1000,"Blocked",'User flow template'!$D$2:$D$1000,"All sites")))</f>
        <v/>
      </c>
      <c r="H175" s="0" t="str">
        <f aca="false">IF($A175="","",D175-E175-F175-G175)</f>
        <v/>
      </c>
    </row>
    <row r="176" customFormat="false" ht="15" hidden="false" customHeight="false" outlineLevel="0" collapsed="false">
      <c r="D176" s="0" t="str">
        <f aca="false">IF($A176="","",IF($K$1="All sites",COUNTIFS('User flow template'!$B$2:$B$1000,$A176),COUNTIFS('User flow template'!$B$2:$B$1000,$A176,'User flow template'!$D$2:$D$1000,$K$1)+COUNTIFS('User flow template'!$B$2:$B$1000,$A176,'User flow template'!$D$2:$D$1000,"All sites")))</f>
        <v/>
      </c>
      <c r="E176" s="49" t="str">
        <f aca="false">IF($A176="","",IF($K$1="All sites",COUNTIFS('User flow template'!$B$2:$B$1000,$A176,'User flow template'!$L$2:$L$1000,"Pass"),COUNTIFS('User flow template'!$B$2:$B$1000,$A176,'User flow template'!$L$2:$L$1000,"Pass",'User flow template'!$D$2:$D$1000,$K$1)+COUNTIFS('User flow template'!$B$2:$B$1000,$A176,'User flow template'!$L$2:$L$1000,"Pass",'User flow template'!$D$2:$D$1000,"All sites")))</f>
        <v/>
      </c>
      <c r="F176" s="0" t="str">
        <f aca="false">IF($A176="","",IF($K$1="All sites",COUNTIFS('User flow template'!$B$2:$B$1000,$A176,'User flow template'!$L$2:$L$1000,"Fail"),COUNTIFS('User flow template'!$B$2:$B$1000,$A176,'User flow template'!$L$2:$L$1000,"Fail",'User flow template'!$D$2:$D$1000,$K$1)+COUNTIFS('User flow template'!$B$2:$B$1000,$A176,'User flow template'!$L$2:$L$1000,"Fail",'User flow template'!$D$2:$D$1000,"All sites")))</f>
        <v/>
      </c>
      <c r="G176" s="0" t="str">
        <f aca="false">IF($A176="","",IF($K$1="All sites",COUNTIFS('User flow template'!$B$2:$B$1000,$A176,'User flow template'!$L$2:$L$1000,"Blocked"),COUNTIFS('User flow template'!$B$2:$B$1000,$A176,'User flow template'!$L$2:$L$1000,"Blocked",'User flow template'!$D$2:$D$1000,$K$1)+COUNTIFS('User flow template'!$B$2:$B$1000,$A176,'User flow template'!$L$2:$L$1000,"Blocked",'User flow template'!$D$2:$D$1000,"All sites")))</f>
        <v/>
      </c>
      <c r="H176" s="0" t="str">
        <f aca="false">IF($A176="","",D176-E176-F176-G176)</f>
        <v/>
      </c>
    </row>
    <row r="177" customFormat="false" ht="15" hidden="false" customHeight="false" outlineLevel="0" collapsed="false">
      <c r="D177" s="0" t="str">
        <f aca="false">IF($A177="","",IF($K$1="All sites",COUNTIFS('User flow template'!$B$2:$B$1000,$A177),COUNTIFS('User flow template'!$B$2:$B$1000,$A177,'User flow template'!$D$2:$D$1000,$K$1)+COUNTIFS('User flow template'!$B$2:$B$1000,$A177,'User flow template'!$D$2:$D$1000,"All sites")))</f>
        <v/>
      </c>
      <c r="E177" s="49" t="str">
        <f aca="false">IF($A177="","",IF($K$1="All sites",COUNTIFS('User flow template'!$B$2:$B$1000,$A177,'User flow template'!$L$2:$L$1000,"Pass"),COUNTIFS('User flow template'!$B$2:$B$1000,$A177,'User flow template'!$L$2:$L$1000,"Pass",'User flow template'!$D$2:$D$1000,$K$1)+COUNTIFS('User flow template'!$B$2:$B$1000,$A177,'User flow template'!$L$2:$L$1000,"Pass",'User flow template'!$D$2:$D$1000,"All sites")))</f>
        <v/>
      </c>
      <c r="F177" s="0" t="str">
        <f aca="false">IF($A177="","",IF($K$1="All sites",COUNTIFS('User flow template'!$B$2:$B$1000,$A177,'User flow template'!$L$2:$L$1000,"Fail"),COUNTIFS('User flow template'!$B$2:$B$1000,$A177,'User flow template'!$L$2:$L$1000,"Fail",'User flow template'!$D$2:$D$1000,$K$1)+COUNTIFS('User flow template'!$B$2:$B$1000,$A177,'User flow template'!$L$2:$L$1000,"Fail",'User flow template'!$D$2:$D$1000,"All sites")))</f>
        <v/>
      </c>
      <c r="G177" s="0" t="str">
        <f aca="false">IF($A177="","",IF($K$1="All sites",COUNTIFS('User flow template'!$B$2:$B$1000,$A177,'User flow template'!$L$2:$L$1000,"Blocked"),COUNTIFS('User flow template'!$B$2:$B$1000,$A177,'User flow template'!$L$2:$L$1000,"Blocked",'User flow template'!$D$2:$D$1000,$K$1)+COUNTIFS('User flow template'!$B$2:$B$1000,$A177,'User flow template'!$L$2:$L$1000,"Blocked",'User flow template'!$D$2:$D$1000,"All sites")))</f>
        <v/>
      </c>
      <c r="H177" s="0" t="str">
        <f aca="false">IF($A177="","",D177-E177-F177-G177)</f>
        <v/>
      </c>
    </row>
    <row r="178" customFormat="false" ht="15" hidden="false" customHeight="false" outlineLevel="0" collapsed="false">
      <c r="D178" s="0" t="str">
        <f aca="false">IF($A178="","",IF($K$1="All sites",COUNTIFS('User flow template'!$B$2:$B$1000,$A178),COUNTIFS('User flow template'!$B$2:$B$1000,$A178,'User flow template'!$D$2:$D$1000,$K$1)+COUNTIFS('User flow template'!$B$2:$B$1000,$A178,'User flow template'!$D$2:$D$1000,"All sites")))</f>
        <v/>
      </c>
      <c r="E178" s="49" t="str">
        <f aca="false">IF($A178="","",IF($K$1="All sites",COUNTIFS('User flow template'!$B$2:$B$1000,$A178,'User flow template'!$L$2:$L$1000,"Pass"),COUNTIFS('User flow template'!$B$2:$B$1000,$A178,'User flow template'!$L$2:$L$1000,"Pass",'User flow template'!$D$2:$D$1000,$K$1)+COUNTIFS('User flow template'!$B$2:$B$1000,$A178,'User flow template'!$L$2:$L$1000,"Pass",'User flow template'!$D$2:$D$1000,"All sites")))</f>
        <v/>
      </c>
      <c r="F178" s="0" t="str">
        <f aca="false">IF($A178="","",IF($K$1="All sites",COUNTIFS('User flow template'!$B$2:$B$1000,$A178,'User flow template'!$L$2:$L$1000,"Fail"),COUNTIFS('User flow template'!$B$2:$B$1000,$A178,'User flow template'!$L$2:$L$1000,"Fail",'User flow template'!$D$2:$D$1000,$K$1)+COUNTIFS('User flow template'!$B$2:$B$1000,$A178,'User flow template'!$L$2:$L$1000,"Fail",'User flow template'!$D$2:$D$1000,"All sites")))</f>
        <v/>
      </c>
      <c r="G178" s="0" t="str">
        <f aca="false">IF($A178="","",IF($K$1="All sites",COUNTIFS('User flow template'!$B$2:$B$1000,$A178,'User flow template'!$L$2:$L$1000,"Blocked"),COUNTIFS('User flow template'!$B$2:$B$1000,$A178,'User flow template'!$L$2:$L$1000,"Blocked",'User flow template'!$D$2:$D$1000,$K$1)+COUNTIFS('User flow template'!$B$2:$B$1000,$A178,'User flow template'!$L$2:$L$1000,"Blocked",'User flow template'!$D$2:$D$1000,"All sites")))</f>
        <v/>
      </c>
      <c r="H178" s="0" t="str">
        <f aca="false">IF($A178="","",D178-E178-F178-G178)</f>
        <v/>
      </c>
    </row>
    <row r="179" customFormat="false" ht="15" hidden="false" customHeight="false" outlineLevel="0" collapsed="false">
      <c r="D179" s="0" t="str">
        <f aca="false">IF($A179="","",IF($K$1="All sites",COUNTIFS('User flow template'!$B$2:$B$1000,$A179),COUNTIFS('User flow template'!$B$2:$B$1000,$A179,'User flow template'!$D$2:$D$1000,$K$1)+COUNTIFS('User flow template'!$B$2:$B$1000,$A179,'User flow template'!$D$2:$D$1000,"All sites")))</f>
        <v/>
      </c>
      <c r="E179" s="49" t="str">
        <f aca="false">IF($A179="","",IF($K$1="All sites",COUNTIFS('User flow template'!$B$2:$B$1000,$A179,'User flow template'!$L$2:$L$1000,"Pass"),COUNTIFS('User flow template'!$B$2:$B$1000,$A179,'User flow template'!$L$2:$L$1000,"Pass",'User flow template'!$D$2:$D$1000,$K$1)+COUNTIFS('User flow template'!$B$2:$B$1000,$A179,'User flow template'!$L$2:$L$1000,"Pass",'User flow template'!$D$2:$D$1000,"All sites")))</f>
        <v/>
      </c>
      <c r="F179" s="0" t="str">
        <f aca="false">IF($A179="","",IF($K$1="All sites",COUNTIFS('User flow template'!$B$2:$B$1000,$A179,'User flow template'!$L$2:$L$1000,"Fail"),COUNTIFS('User flow template'!$B$2:$B$1000,$A179,'User flow template'!$L$2:$L$1000,"Fail",'User flow template'!$D$2:$D$1000,$K$1)+COUNTIFS('User flow template'!$B$2:$B$1000,$A179,'User flow template'!$L$2:$L$1000,"Fail",'User flow template'!$D$2:$D$1000,"All sites")))</f>
        <v/>
      </c>
      <c r="G179" s="0" t="str">
        <f aca="false">IF($A179="","",IF($K$1="All sites",COUNTIFS('User flow template'!$B$2:$B$1000,$A179,'User flow template'!$L$2:$L$1000,"Blocked"),COUNTIFS('User flow template'!$B$2:$B$1000,$A179,'User flow template'!$L$2:$L$1000,"Blocked",'User flow template'!$D$2:$D$1000,$K$1)+COUNTIFS('User flow template'!$B$2:$B$1000,$A179,'User flow template'!$L$2:$L$1000,"Blocked",'User flow template'!$D$2:$D$1000,"All sites")))</f>
        <v/>
      </c>
      <c r="H179" s="0" t="str">
        <f aca="false">IF($A179="","",D179-E179-F179-G179)</f>
        <v/>
      </c>
    </row>
    <row r="180" customFormat="false" ht="15" hidden="false" customHeight="false" outlineLevel="0" collapsed="false">
      <c r="D180" s="0" t="str">
        <f aca="false">IF($A180="","",IF($K$1="All sites",COUNTIFS('User flow template'!$B$2:$B$1000,$A180),COUNTIFS('User flow template'!$B$2:$B$1000,$A180,'User flow template'!$D$2:$D$1000,$K$1)+COUNTIFS('User flow template'!$B$2:$B$1000,$A180,'User flow template'!$D$2:$D$1000,"All sites")))</f>
        <v/>
      </c>
      <c r="E180" s="49" t="str">
        <f aca="false">IF($A180="","",IF($K$1="All sites",COUNTIFS('User flow template'!$B$2:$B$1000,$A180,'User flow template'!$L$2:$L$1000,"Pass"),COUNTIFS('User flow template'!$B$2:$B$1000,$A180,'User flow template'!$L$2:$L$1000,"Pass",'User flow template'!$D$2:$D$1000,$K$1)+COUNTIFS('User flow template'!$B$2:$B$1000,$A180,'User flow template'!$L$2:$L$1000,"Pass",'User flow template'!$D$2:$D$1000,"All sites")))</f>
        <v/>
      </c>
      <c r="F180" s="0" t="str">
        <f aca="false">IF($A180="","",IF($K$1="All sites",COUNTIFS('User flow template'!$B$2:$B$1000,$A180,'User flow template'!$L$2:$L$1000,"Fail"),COUNTIFS('User flow template'!$B$2:$B$1000,$A180,'User flow template'!$L$2:$L$1000,"Fail",'User flow template'!$D$2:$D$1000,$K$1)+COUNTIFS('User flow template'!$B$2:$B$1000,$A180,'User flow template'!$L$2:$L$1000,"Fail",'User flow template'!$D$2:$D$1000,"All sites")))</f>
        <v/>
      </c>
      <c r="G180" s="0" t="str">
        <f aca="false">IF($A180="","",IF($K$1="All sites",COUNTIFS('User flow template'!$B$2:$B$1000,$A180,'User flow template'!$L$2:$L$1000,"Blocked"),COUNTIFS('User flow template'!$B$2:$B$1000,$A180,'User flow template'!$L$2:$L$1000,"Blocked",'User flow template'!$D$2:$D$1000,$K$1)+COUNTIFS('User flow template'!$B$2:$B$1000,$A180,'User flow template'!$L$2:$L$1000,"Blocked",'User flow template'!$D$2:$D$1000,"All sites")))</f>
        <v/>
      </c>
      <c r="H180" s="0" t="str">
        <f aca="false">IF($A180="","",D180-E180-F180-G180)</f>
        <v/>
      </c>
    </row>
    <row r="181" customFormat="false" ht="15" hidden="false" customHeight="false" outlineLevel="0" collapsed="false">
      <c r="D181" s="0" t="str">
        <f aca="false">IF($A181="","",IF($K$1="All sites",COUNTIFS('User flow template'!$B$2:$B$1000,$A181),COUNTIFS('User flow template'!$B$2:$B$1000,$A181,'User flow template'!$D$2:$D$1000,$K$1)+COUNTIFS('User flow template'!$B$2:$B$1000,$A181,'User flow template'!$D$2:$D$1000,"All sites")))</f>
        <v/>
      </c>
      <c r="E181" s="49" t="str">
        <f aca="false">IF($A181="","",IF($K$1="All sites",COUNTIFS('User flow template'!$B$2:$B$1000,$A181,'User flow template'!$L$2:$L$1000,"Pass"),COUNTIFS('User flow template'!$B$2:$B$1000,$A181,'User flow template'!$L$2:$L$1000,"Pass",'User flow template'!$D$2:$D$1000,$K$1)+COUNTIFS('User flow template'!$B$2:$B$1000,$A181,'User flow template'!$L$2:$L$1000,"Pass",'User flow template'!$D$2:$D$1000,"All sites")))</f>
        <v/>
      </c>
      <c r="F181" s="0" t="str">
        <f aca="false">IF($A181="","",IF($K$1="All sites",COUNTIFS('User flow template'!$B$2:$B$1000,$A181,'User flow template'!$L$2:$L$1000,"Fail"),COUNTIFS('User flow template'!$B$2:$B$1000,$A181,'User flow template'!$L$2:$L$1000,"Fail",'User flow template'!$D$2:$D$1000,$K$1)+COUNTIFS('User flow template'!$B$2:$B$1000,$A181,'User flow template'!$L$2:$L$1000,"Fail",'User flow template'!$D$2:$D$1000,"All sites")))</f>
        <v/>
      </c>
      <c r="G181" s="0" t="str">
        <f aca="false">IF($A181="","",IF($K$1="All sites",COUNTIFS('User flow template'!$B$2:$B$1000,$A181,'User flow template'!$L$2:$L$1000,"Blocked"),COUNTIFS('User flow template'!$B$2:$B$1000,$A181,'User flow template'!$L$2:$L$1000,"Blocked",'User flow template'!$D$2:$D$1000,$K$1)+COUNTIFS('User flow template'!$B$2:$B$1000,$A181,'User flow template'!$L$2:$L$1000,"Blocked",'User flow template'!$D$2:$D$1000,"All sites")))</f>
        <v/>
      </c>
      <c r="H181" s="0" t="str">
        <f aca="false">IF($A181="","",D181-E181-F181-G181)</f>
        <v/>
      </c>
    </row>
    <row r="182" customFormat="false" ht="15" hidden="false" customHeight="false" outlineLevel="0" collapsed="false">
      <c r="D182" s="0" t="str">
        <f aca="false">IF($A182="","",IF($K$1="All sites",COUNTIFS('User flow template'!$B$2:$B$1000,$A182),COUNTIFS('User flow template'!$B$2:$B$1000,$A182,'User flow template'!$D$2:$D$1000,$K$1)+COUNTIFS('User flow template'!$B$2:$B$1000,$A182,'User flow template'!$D$2:$D$1000,"All sites")))</f>
        <v/>
      </c>
      <c r="E182" s="49" t="str">
        <f aca="false">IF($A182="","",IF($K$1="All sites",COUNTIFS('User flow template'!$B$2:$B$1000,$A182,'User flow template'!$L$2:$L$1000,"Pass"),COUNTIFS('User flow template'!$B$2:$B$1000,$A182,'User flow template'!$L$2:$L$1000,"Pass",'User flow template'!$D$2:$D$1000,$K$1)+COUNTIFS('User flow template'!$B$2:$B$1000,$A182,'User flow template'!$L$2:$L$1000,"Pass",'User flow template'!$D$2:$D$1000,"All sites")))</f>
        <v/>
      </c>
      <c r="F182" s="0" t="str">
        <f aca="false">IF($A182="","",IF($K$1="All sites",COUNTIFS('User flow template'!$B$2:$B$1000,$A182,'User flow template'!$L$2:$L$1000,"Fail"),COUNTIFS('User flow template'!$B$2:$B$1000,$A182,'User flow template'!$L$2:$L$1000,"Fail",'User flow template'!$D$2:$D$1000,$K$1)+COUNTIFS('User flow template'!$B$2:$B$1000,$A182,'User flow template'!$L$2:$L$1000,"Fail",'User flow template'!$D$2:$D$1000,"All sites")))</f>
        <v/>
      </c>
      <c r="G182" s="0" t="str">
        <f aca="false">IF($A182="","",IF($K$1="All sites",COUNTIFS('User flow template'!$B$2:$B$1000,$A182,'User flow template'!$L$2:$L$1000,"Blocked"),COUNTIFS('User flow template'!$B$2:$B$1000,$A182,'User flow template'!$L$2:$L$1000,"Blocked",'User flow template'!$D$2:$D$1000,$K$1)+COUNTIFS('User flow template'!$B$2:$B$1000,$A182,'User flow template'!$L$2:$L$1000,"Blocked",'User flow template'!$D$2:$D$1000,"All sites")))</f>
        <v/>
      </c>
      <c r="H182" s="0" t="str">
        <f aca="false">IF($A182="","",D182-E182-F182-G182)</f>
        <v/>
      </c>
    </row>
    <row r="183" customFormat="false" ht="15" hidden="false" customHeight="false" outlineLevel="0" collapsed="false">
      <c r="D183" s="0" t="str">
        <f aca="false">IF($A183="","",IF($K$1="All sites",COUNTIFS('User flow template'!$B$2:$B$1000,$A183),COUNTIFS('User flow template'!$B$2:$B$1000,$A183,'User flow template'!$D$2:$D$1000,$K$1)+COUNTIFS('User flow template'!$B$2:$B$1000,$A183,'User flow template'!$D$2:$D$1000,"All sites")))</f>
        <v/>
      </c>
      <c r="E183" s="49" t="str">
        <f aca="false">IF($A183="","",IF($K$1="All sites",COUNTIFS('User flow template'!$B$2:$B$1000,$A183,'User flow template'!$L$2:$L$1000,"Pass"),COUNTIFS('User flow template'!$B$2:$B$1000,$A183,'User flow template'!$L$2:$L$1000,"Pass",'User flow template'!$D$2:$D$1000,$K$1)+COUNTIFS('User flow template'!$B$2:$B$1000,$A183,'User flow template'!$L$2:$L$1000,"Pass",'User flow template'!$D$2:$D$1000,"All sites")))</f>
        <v/>
      </c>
      <c r="F183" s="0" t="str">
        <f aca="false">IF($A183="","",IF($K$1="All sites",COUNTIFS('User flow template'!$B$2:$B$1000,$A183,'User flow template'!$L$2:$L$1000,"Fail"),COUNTIFS('User flow template'!$B$2:$B$1000,$A183,'User flow template'!$L$2:$L$1000,"Fail",'User flow template'!$D$2:$D$1000,$K$1)+COUNTIFS('User flow template'!$B$2:$B$1000,$A183,'User flow template'!$L$2:$L$1000,"Fail",'User flow template'!$D$2:$D$1000,"All sites")))</f>
        <v/>
      </c>
      <c r="G183" s="0" t="str">
        <f aca="false">IF($A183="","",IF($K$1="All sites",COUNTIFS('User flow template'!$B$2:$B$1000,$A183,'User flow template'!$L$2:$L$1000,"Blocked"),COUNTIFS('User flow template'!$B$2:$B$1000,$A183,'User flow template'!$L$2:$L$1000,"Blocked",'User flow template'!$D$2:$D$1000,$K$1)+COUNTIFS('User flow template'!$B$2:$B$1000,$A183,'User flow template'!$L$2:$L$1000,"Blocked",'User flow template'!$D$2:$D$1000,"All sites")))</f>
        <v/>
      </c>
      <c r="H183" s="0" t="str">
        <f aca="false">IF($A183="","",D183-E183-F183-G183)</f>
        <v/>
      </c>
    </row>
    <row r="184" customFormat="false" ht="15" hidden="false" customHeight="false" outlineLevel="0" collapsed="false">
      <c r="D184" s="0" t="str">
        <f aca="false">IF($A184="","",IF($K$1="All sites",COUNTIFS('User flow template'!$B$2:$B$1000,$A184),COUNTIFS('User flow template'!$B$2:$B$1000,$A184,'User flow template'!$D$2:$D$1000,$K$1)+COUNTIFS('User flow template'!$B$2:$B$1000,$A184,'User flow template'!$D$2:$D$1000,"All sites")))</f>
        <v/>
      </c>
      <c r="E184" s="49" t="str">
        <f aca="false">IF($A184="","",IF($K$1="All sites",COUNTIFS('User flow template'!$B$2:$B$1000,$A184,'User flow template'!$L$2:$L$1000,"Pass"),COUNTIFS('User flow template'!$B$2:$B$1000,$A184,'User flow template'!$L$2:$L$1000,"Pass",'User flow template'!$D$2:$D$1000,$K$1)+COUNTIFS('User flow template'!$B$2:$B$1000,$A184,'User flow template'!$L$2:$L$1000,"Pass",'User flow template'!$D$2:$D$1000,"All sites")))</f>
        <v/>
      </c>
      <c r="F184" s="0" t="str">
        <f aca="false">IF($A184="","",IF($K$1="All sites",COUNTIFS('User flow template'!$B$2:$B$1000,$A184,'User flow template'!$L$2:$L$1000,"Fail"),COUNTIFS('User flow template'!$B$2:$B$1000,$A184,'User flow template'!$L$2:$L$1000,"Fail",'User flow template'!$D$2:$D$1000,$K$1)+COUNTIFS('User flow template'!$B$2:$B$1000,$A184,'User flow template'!$L$2:$L$1000,"Fail",'User flow template'!$D$2:$D$1000,"All sites")))</f>
        <v/>
      </c>
      <c r="G184" s="0" t="str">
        <f aca="false">IF($A184="","",IF($K$1="All sites",COUNTIFS('User flow template'!$B$2:$B$1000,$A184,'User flow template'!$L$2:$L$1000,"Blocked"),COUNTIFS('User flow template'!$B$2:$B$1000,$A184,'User flow template'!$L$2:$L$1000,"Blocked",'User flow template'!$D$2:$D$1000,$K$1)+COUNTIFS('User flow template'!$B$2:$B$1000,$A184,'User flow template'!$L$2:$L$1000,"Blocked",'User flow template'!$D$2:$D$1000,"All sites")))</f>
        <v/>
      </c>
      <c r="H184" s="0" t="str">
        <f aca="false">IF($A184="","",D184-E184-F184-G184)</f>
        <v/>
      </c>
    </row>
    <row r="185" customFormat="false" ht="15" hidden="false" customHeight="false" outlineLevel="0" collapsed="false">
      <c r="D185" s="0" t="str">
        <f aca="false">IF($A185="","",IF($K$1="All sites",COUNTIFS('User flow template'!$B$2:$B$1000,$A185),COUNTIFS('User flow template'!$B$2:$B$1000,$A185,'User flow template'!$D$2:$D$1000,$K$1)+COUNTIFS('User flow template'!$B$2:$B$1000,$A185,'User flow template'!$D$2:$D$1000,"All sites")))</f>
        <v/>
      </c>
      <c r="E185" s="49" t="str">
        <f aca="false">IF($A185="","",IF($K$1="All sites",COUNTIFS('User flow template'!$B$2:$B$1000,$A185,'User flow template'!$L$2:$L$1000,"Pass"),COUNTIFS('User flow template'!$B$2:$B$1000,$A185,'User flow template'!$L$2:$L$1000,"Pass",'User flow template'!$D$2:$D$1000,$K$1)+COUNTIFS('User flow template'!$B$2:$B$1000,$A185,'User flow template'!$L$2:$L$1000,"Pass",'User flow template'!$D$2:$D$1000,"All sites")))</f>
        <v/>
      </c>
      <c r="F185" s="0" t="str">
        <f aca="false">IF($A185="","",IF($K$1="All sites",COUNTIFS('User flow template'!$B$2:$B$1000,$A185,'User flow template'!$L$2:$L$1000,"Fail"),COUNTIFS('User flow template'!$B$2:$B$1000,$A185,'User flow template'!$L$2:$L$1000,"Fail",'User flow template'!$D$2:$D$1000,$K$1)+COUNTIFS('User flow template'!$B$2:$B$1000,$A185,'User flow template'!$L$2:$L$1000,"Fail",'User flow template'!$D$2:$D$1000,"All sites")))</f>
        <v/>
      </c>
      <c r="G185" s="0" t="str">
        <f aca="false">IF($A185="","",IF($K$1="All sites",COUNTIFS('User flow template'!$B$2:$B$1000,$A185,'User flow template'!$L$2:$L$1000,"Blocked"),COUNTIFS('User flow template'!$B$2:$B$1000,$A185,'User flow template'!$L$2:$L$1000,"Blocked",'User flow template'!$D$2:$D$1000,$K$1)+COUNTIFS('User flow template'!$B$2:$B$1000,$A185,'User flow template'!$L$2:$L$1000,"Blocked",'User flow template'!$D$2:$D$1000,"All sites")))</f>
        <v/>
      </c>
      <c r="H185" s="0" t="str">
        <f aca="false">IF($A185="","",D185-E185-F185-G185)</f>
        <v/>
      </c>
    </row>
    <row r="186" customFormat="false" ht="15" hidden="false" customHeight="false" outlineLevel="0" collapsed="false">
      <c r="D186" s="0" t="str">
        <f aca="false">IF($A186="","",IF($K$1="All sites",COUNTIFS('User flow template'!$B$2:$B$1000,$A186),COUNTIFS('User flow template'!$B$2:$B$1000,$A186,'User flow template'!$D$2:$D$1000,$K$1)+COUNTIFS('User flow template'!$B$2:$B$1000,$A186,'User flow template'!$D$2:$D$1000,"All sites")))</f>
        <v/>
      </c>
      <c r="E186" s="49" t="str">
        <f aca="false">IF($A186="","",IF($K$1="All sites",COUNTIFS('User flow template'!$B$2:$B$1000,$A186,'User flow template'!$L$2:$L$1000,"Pass"),COUNTIFS('User flow template'!$B$2:$B$1000,$A186,'User flow template'!$L$2:$L$1000,"Pass",'User flow template'!$D$2:$D$1000,$K$1)+COUNTIFS('User flow template'!$B$2:$B$1000,$A186,'User flow template'!$L$2:$L$1000,"Pass",'User flow template'!$D$2:$D$1000,"All sites")))</f>
        <v/>
      </c>
      <c r="F186" s="0" t="str">
        <f aca="false">IF($A186="","",IF($K$1="All sites",COUNTIFS('User flow template'!$B$2:$B$1000,$A186,'User flow template'!$L$2:$L$1000,"Fail"),COUNTIFS('User flow template'!$B$2:$B$1000,$A186,'User flow template'!$L$2:$L$1000,"Fail",'User flow template'!$D$2:$D$1000,$K$1)+COUNTIFS('User flow template'!$B$2:$B$1000,$A186,'User flow template'!$L$2:$L$1000,"Fail",'User flow template'!$D$2:$D$1000,"All sites")))</f>
        <v/>
      </c>
      <c r="G186" s="0" t="str">
        <f aca="false">IF($A186="","",IF($K$1="All sites",COUNTIFS('User flow template'!$B$2:$B$1000,$A186,'User flow template'!$L$2:$L$1000,"Blocked"),COUNTIFS('User flow template'!$B$2:$B$1000,$A186,'User flow template'!$L$2:$L$1000,"Blocked",'User flow template'!$D$2:$D$1000,$K$1)+COUNTIFS('User flow template'!$B$2:$B$1000,$A186,'User flow template'!$L$2:$L$1000,"Blocked",'User flow template'!$D$2:$D$1000,"All sites")))</f>
        <v/>
      </c>
      <c r="H186" s="0" t="str">
        <f aca="false">IF($A186="","",D186-E186-F186-G186)</f>
        <v/>
      </c>
    </row>
    <row r="187" customFormat="false" ht="15" hidden="false" customHeight="false" outlineLevel="0" collapsed="false">
      <c r="D187" s="0" t="str">
        <f aca="false">IF($A187="","",IF($K$1="All sites",COUNTIFS('User flow template'!$B$2:$B$1000,$A187),COUNTIFS('User flow template'!$B$2:$B$1000,$A187,'User flow template'!$D$2:$D$1000,$K$1)+COUNTIFS('User flow template'!$B$2:$B$1000,$A187,'User flow template'!$D$2:$D$1000,"All sites")))</f>
        <v/>
      </c>
      <c r="E187" s="49" t="str">
        <f aca="false">IF($A187="","",IF($K$1="All sites",COUNTIFS('User flow template'!$B$2:$B$1000,$A187,'User flow template'!$L$2:$L$1000,"Pass"),COUNTIFS('User flow template'!$B$2:$B$1000,$A187,'User flow template'!$L$2:$L$1000,"Pass",'User flow template'!$D$2:$D$1000,$K$1)+COUNTIFS('User flow template'!$B$2:$B$1000,$A187,'User flow template'!$L$2:$L$1000,"Pass",'User flow template'!$D$2:$D$1000,"All sites")))</f>
        <v/>
      </c>
      <c r="F187" s="0" t="str">
        <f aca="false">IF($A187="","",IF($K$1="All sites",COUNTIFS('User flow template'!$B$2:$B$1000,$A187,'User flow template'!$L$2:$L$1000,"Fail"),COUNTIFS('User flow template'!$B$2:$B$1000,$A187,'User flow template'!$L$2:$L$1000,"Fail",'User flow template'!$D$2:$D$1000,$K$1)+COUNTIFS('User flow template'!$B$2:$B$1000,$A187,'User flow template'!$L$2:$L$1000,"Fail",'User flow template'!$D$2:$D$1000,"All sites")))</f>
        <v/>
      </c>
      <c r="G187" s="0" t="str">
        <f aca="false">IF($A187="","",IF($K$1="All sites",COUNTIFS('User flow template'!$B$2:$B$1000,$A187,'User flow template'!$L$2:$L$1000,"Blocked"),COUNTIFS('User flow template'!$B$2:$B$1000,$A187,'User flow template'!$L$2:$L$1000,"Blocked",'User flow template'!$D$2:$D$1000,$K$1)+COUNTIFS('User flow template'!$B$2:$B$1000,$A187,'User flow template'!$L$2:$L$1000,"Blocked",'User flow template'!$D$2:$D$1000,"All sites")))</f>
        <v/>
      </c>
      <c r="H187" s="0" t="str">
        <f aca="false">IF($A187="","",D187-E187-F187-G187)</f>
        <v/>
      </c>
    </row>
    <row r="188" customFormat="false" ht="15" hidden="false" customHeight="false" outlineLevel="0" collapsed="false">
      <c r="D188" s="0" t="str">
        <f aca="false">IF($A188="","",IF($K$1="All sites",COUNTIFS('User flow template'!$B$2:$B$1000,$A188),COUNTIFS('User flow template'!$B$2:$B$1000,$A188,'User flow template'!$D$2:$D$1000,$K$1)+COUNTIFS('User flow template'!$B$2:$B$1000,$A188,'User flow template'!$D$2:$D$1000,"All sites")))</f>
        <v/>
      </c>
      <c r="E188" s="49" t="str">
        <f aca="false">IF($A188="","",IF($K$1="All sites",COUNTIFS('User flow template'!$B$2:$B$1000,$A188,'User flow template'!$L$2:$L$1000,"Pass"),COUNTIFS('User flow template'!$B$2:$B$1000,$A188,'User flow template'!$L$2:$L$1000,"Pass",'User flow template'!$D$2:$D$1000,$K$1)+COUNTIFS('User flow template'!$B$2:$B$1000,$A188,'User flow template'!$L$2:$L$1000,"Pass",'User flow template'!$D$2:$D$1000,"All sites")))</f>
        <v/>
      </c>
      <c r="F188" s="0" t="str">
        <f aca="false">IF($A188="","",IF($K$1="All sites",COUNTIFS('User flow template'!$B$2:$B$1000,$A188,'User flow template'!$L$2:$L$1000,"Fail"),COUNTIFS('User flow template'!$B$2:$B$1000,$A188,'User flow template'!$L$2:$L$1000,"Fail",'User flow template'!$D$2:$D$1000,$K$1)+COUNTIFS('User flow template'!$B$2:$B$1000,$A188,'User flow template'!$L$2:$L$1000,"Fail",'User flow template'!$D$2:$D$1000,"All sites")))</f>
        <v/>
      </c>
      <c r="G188" s="0" t="str">
        <f aca="false">IF($A188="","",IF($K$1="All sites",COUNTIFS('User flow template'!$B$2:$B$1000,$A188,'User flow template'!$L$2:$L$1000,"Blocked"),COUNTIFS('User flow template'!$B$2:$B$1000,$A188,'User flow template'!$L$2:$L$1000,"Blocked",'User flow template'!$D$2:$D$1000,$K$1)+COUNTIFS('User flow template'!$B$2:$B$1000,$A188,'User flow template'!$L$2:$L$1000,"Blocked",'User flow template'!$D$2:$D$1000,"All sites")))</f>
        <v/>
      </c>
      <c r="H188" s="0" t="str">
        <f aca="false">IF($A188="","",D188-E188-F188-G188)</f>
        <v/>
      </c>
    </row>
    <row r="189" customFormat="false" ht="15" hidden="false" customHeight="false" outlineLevel="0" collapsed="false">
      <c r="D189" s="0" t="str">
        <f aca="false">IF($A189="","",IF($K$1="All sites",COUNTIFS('User flow template'!$B$2:$B$1000,$A189),COUNTIFS('User flow template'!$B$2:$B$1000,$A189,'User flow template'!$D$2:$D$1000,$K$1)+COUNTIFS('User flow template'!$B$2:$B$1000,$A189,'User flow template'!$D$2:$D$1000,"All sites")))</f>
        <v/>
      </c>
      <c r="E189" s="49" t="str">
        <f aca="false">IF($A189="","",IF($K$1="All sites",COUNTIFS('User flow template'!$B$2:$B$1000,$A189,'User flow template'!$L$2:$L$1000,"Pass"),COUNTIFS('User flow template'!$B$2:$B$1000,$A189,'User flow template'!$L$2:$L$1000,"Pass",'User flow template'!$D$2:$D$1000,$K$1)+COUNTIFS('User flow template'!$B$2:$B$1000,$A189,'User flow template'!$L$2:$L$1000,"Pass",'User flow template'!$D$2:$D$1000,"All sites")))</f>
        <v/>
      </c>
      <c r="F189" s="0" t="str">
        <f aca="false">IF($A189="","",IF($K$1="All sites",COUNTIFS('User flow template'!$B$2:$B$1000,$A189,'User flow template'!$L$2:$L$1000,"Fail"),COUNTIFS('User flow template'!$B$2:$B$1000,$A189,'User flow template'!$L$2:$L$1000,"Fail",'User flow template'!$D$2:$D$1000,$K$1)+COUNTIFS('User flow template'!$B$2:$B$1000,$A189,'User flow template'!$L$2:$L$1000,"Fail",'User flow template'!$D$2:$D$1000,"All sites")))</f>
        <v/>
      </c>
      <c r="G189" s="0" t="str">
        <f aca="false">IF($A189="","",IF($K$1="All sites",COUNTIFS('User flow template'!$B$2:$B$1000,$A189,'User flow template'!$L$2:$L$1000,"Blocked"),COUNTIFS('User flow template'!$B$2:$B$1000,$A189,'User flow template'!$L$2:$L$1000,"Blocked",'User flow template'!$D$2:$D$1000,$K$1)+COUNTIFS('User flow template'!$B$2:$B$1000,$A189,'User flow template'!$L$2:$L$1000,"Blocked",'User flow template'!$D$2:$D$1000,"All sites")))</f>
        <v/>
      </c>
      <c r="H189" s="0" t="str">
        <f aca="false">IF($A189="","",D189-E189-F189-G189)</f>
        <v/>
      </c>
    </row>
    <row r="190" customFormat="false" ht="15" hidden="false" customHeight="false" outlineLevel="0" collapsed="false">
      <c r="D190" s="0" t="str">
        <f aca="false">IF($A190="","",IF($K$1="All sites",COUNTIFS('User flow template'!$B$2:$B$1000,$A190),COUNTIFS('User flow template'!$B$2:$B$1000,$A190,'User flow template'!$D$2:$D$1000,$K$1)+COUNTIFS('User flow template'!$B$2:$B$1000,$A190,'User flow template'!$D$2:$D$1000,"All sites")))</f>
        <v/>
      </c>
      <c r="E190" s="49" t="str">
        <f aca="false">IF($A190="","",IF($K$1="All sites",COUNTIFS('User flow template'!$B$2:$B$1000,$A190,'User flow template'!$L$2:$L$1000,"Pass"),COUNTIFS('User flow template'!$B$2:$B$1000,$A190,'User flow template'!$L$2:$L$1000,"Pass",'User flow template'!$D$2:$D$1000,$K$1)+COUNTIFS('User flow template'!$B$2:$B$1000,$A190,'User flow template'!$L$2:$L$1000,"Pass",'User flow template'!$D$2:$D$1000,"All sites")))</f>
        <v/>
      </c>
      <c r="F190" s="0" t="str">
        <f aca="false">IF($A190="","",IF($K$1="All sites",COUNTIFS('User flow template'!$B$2:$B$1000,$A190,'User flow template'!$L$2:$L$1000,"Fail"),COUNTIFS('User flow template'!$B$2:$B$1000,$A190,'User flow template'!$L$2:$L$1000,"Fail",'User flow template'!$D$2:$D$1000,$K$1)+COUNTIFS('User flow template'!$B$2:$B$1000,$A190,'User flow template'!$L$2:$L$1000,"Fail",'User flow template'!$D$2:$D$1000,"All sites")))</f>
        <v/>
      </c>
      <c r="G190" s="0" t="str">
        <f aca="false">IF($A190="","",IF($K$1="All sites",COUNTIFS('User flow template'!$B$2:$B$1000,$A190,'User flow template'!$L$2:$L$1000,"Blocked"),COUNTIFS('User flow template'!$B$2:$B$1000,$A190,'User flow template'!$L$2:$L$1000,"Blocked",'User flow template'!$D$2:$D$1000,$K$1)+COUNTIFS('User flow template'!$B$2:$B$1000,$A190,'User flow template'!$L$2:$L$1000,"Blocked",'User flow template'!$D$2:$D$1000,"All sites")))</f>
        <v/>
      </c>
      <c r="H190" s="0" t="str">
        <f aca="false">IF($A190="","",D190-E190-F190-G190)</f>
        <v/>
      </c>
    </row>
    <row r="191" customFormat="false" ht="15" hidden="false" customHeight="false" outlineLevel="0" collapsed="false">
      <c r="D191" s="0" t="str">
        <f aca="false">IF($A191="","",IF($K$1="All sites",COUNTIFS('User flow template'!$B$2:$B$1000,$A191),COUNTIFS('User flow template'!$B$2:$B$1000,$A191,'User flow template'!$D$2:$D$1000,$K$1)+COUNTIFS('User flow template'!$B$2:$B$1000,$A191,'User flow template'!$D$2:$D$1000,"All sites")))</f>
        <v/>
      </c>
      <c r="E191" s="49" t="str">
        <f aca="false">IF($A191="","",IF($K$1="All sites",COUNTIFS('User flow template'!$B$2:$B$1000,$A191,'User flow template'!$L$2:$L$1000,"Pass"),COUNTIFS('User flow template'!$B$2:$B$1000,$A191,'User flow template'!$L$2:$L$1000,"Pass",'User flow template'!$D$2:$D$1000,$K$1)+COUNTIFS('User flow template'!$B$2:$B$1000,$A191,'User flow template'!$L$2:$L$1000,"Pass",'User flow template'!$D$2:$D$1000,"All sites")))</f>
        <v/>
      </c>
      <c r="F191" s="0" t="str">
        <f aca="false">IF($A191="","",IF($K$1="All sites",COUNTIFS('User flow template'!$B$2:$B$1000,$A191,'User flow template'!$L$2:$L$1000,"Fail"),COUNTIFS('User flow template'!$B$2:$B$1000,$A191,'User flow template'!$L$2:$L$1000,"Fail",'User flow template'!$D$2:$D$1000,$K$1)+COUNTIFS('User flow template'!$B$2:$B$1000,$A191,'User flow template'!$L$2:$L$1000,"Fail",'User flow template'!$D$2:$D$1000,"All sites")))</f>
        <v/>
      </c>
      <c r="G191" s="0" t="str">
        <f aca="false">IF($A191="","",IF($K$1="All sites",COUNTIFS('User flow template'!$B$2:$B$1000,$A191,'User flow template'!$L$2:$L$1000,"Blocked"),COUNTIFS('User flow template'!$B$2:$B$1000,$A191,'User flow template'!$L$2:$L$1000,"Blocked",'User flow template'!$D$2:$D$1000,$K$1)+COUNTIFS('User flow template'!$B$2:$B$1000,$A191,'User flow template'!$L$2:$L$1000,"Blocked",'User flow template'!$D$2:$D$1000,"All sites")))</f>
        <v/>
      </c>
      <c r="H191" s="0" t="str">
        <f aca="false">IF($A191="","",D191-E191-F191-G191)</f>
        <v/>
      </c>
    </row>
    <row r="192" customFormat="false" ht="15" hidden="false" customHeight="false" outlineLevel="0" collapsed="false">
      <c r="D192" s="0" t="str">
        <f aca="false">IF($A192="","",IF($K$1="All sites",COUNTIFS('User flow template'!$B$2:$B$1000,$A192),COUNTIFS('User flow template'!$B$2:$B$1000,$A192,'User flow template'!$D$2:$D$1000,$K$1)+COUNTIFS('User flow template'!$B$2:$B$1000,$A192,'User flow template'!$D$2:$D$1000,"All sites")))</f>
        <v/>
      </c>
      <c r="E192" s="49" t="str">
        <f aca="false">IF($A192="","",IF($K$1="All sites",COUNTIFS('User flow template'!$B$2:$B$1000,$A192,'User flow template'!$L$2:$L$1000,"Pass"),COUNTIFS('User flow template'!$B$2:$B$1000,$A192,'User flow template'!$L$2:$L$1000,"Pass",'User flow template'!$D$2:$D$1000,$K$1)+COUNTIFS('User flow template'!$B$2:$B$1000,$A192,'User flow template'!$L$2:$L$1000,"Pass",'User flow template'!$D$2:$D$1000,"All sites")))</f>
        <v/>
      </c>
      <c r="F192" s="0" t="str">
        <f aca="false">IF($A192="","",IF($K$1="All sites",COUNTIFS('User flow template'!$B$2:$B$1000,$A192,'User flow template'!$L$2:$L$1000,"Fail"),COUNTIFS('User flow template'!$B$2:$B$1000,$A192,'User flow template'!$L$2:$L$1000,"Fail",'User flow template'!$D$2:$D$1000,$K$1)+COUNTIFS('User flow template'!$B$2:$B$1000,$A192,'User flow template'!$L$2:$L$1000,"Fail",'User flow template'!$D$2:$D$1000,"All sites")))</f>
        <v/>
      </c>
      <c r="G192" s="0" t="str">
        <f aca="false">IF($A192="","",IF($K$1="All sites",COUNTIFS('User flow template'!$B$2:$B$1000,$A192,'User flow template'!$L$2:$L$1000,"Blocked"),COUNTIFS('User flow template'!$B$2:$B$1000,$A192,'User flow template'!$L$2:$L$1000,"Blocked",'User flow template'!$D$2:$D$1000,$K$1)+COUNTIFS('User flow template'!$B$2:$B$1000,$A192,'User flow template'!$L$2:$L$1000,"Blocked",'User flow template'!$D$2:$D$1000,"All sites")))</f>
        <v/>
      </c>
      <c r="H192" s="0" t="str">
        <f aca="false">IF($A192="","",D192-E192-F192-G192)</f>
        <v/>
      </c>
    </row>
    <row r="193" customFormat="false" ht="15" hidden="false" customHeight="false" outlineLevel="0" collapsed="false">
      <c r="D193" s="0" t="str">
        <f aca="false">IF($A193="","",IF($K$1="All sites",COUNTIFS('User flow template'!$B$2:$B$1000,$A193),COUNTIFS('User flow template'!$B$2:$B$1000,$A193,'User flow template'!$D$2:$D$1000,$K$1)+COUNTIFS('User flow template'!$B$2:$B$1000,$A193,'User flow template'!$D$2:$D$1000,"All sites")))</f>
        <v/>
      </c>
      <c r="E193" s="49" t="str">
        <f aca="false">IF($A193="","",IF($K$1="All sites",COUNTIFS('User flow template'!$B$2:$B$1000,$A193,'User flow template'!$L$2:$L$1000,"Pass"),COUNTIFS('User flow template'!$B$2:$B$1000,$A193,'User flow template'!$L$2:$L$1000,"Pass",'User flow template'!$D$2:$D$1000,$K$1)+COUNTIFS('User flow template'!$B$2:$B$1000,$A193,'User flow template'!$L$2:$L$1000,"Pass",'User flow template'!$D$2:$D$1000,"All sites")))</f>
        <v/>
      </c>
      <c r="F193" s="0" t="str">
        <f aca="false">IF($A193="","",IF($K$1="All sites",COUNTIFS('User flow template'!$B$2:$B$1000,$A193,'User flow template'!$L$2:$L$1000,"Fail"),COUNTIFS('User flow template'!$B$2:$B$1000,$A193,'User flow template'!$L$2:$L$1000,"Fail",'User flow template'!$D$2:$D$1000,$K$1)+COUNTIFS('User flow template'!$B$2:$B$1000,$A193,'User flow template'!$L$2:$L$1000,"Fail",'User flow template'!$D$2:$D$1000,"All sites")))</f>
        <v/>
      </c>
      <c r="G193" s="0" t="str">
        <f aca="false">IF($A193="","",IF($K$1="All sites",COUNTIFS('User flow template'!$B$2:$B$1000,$A193,'User flow template'!$L$2:$L$1000,"Blocked"),COUNTIFS('User flow template'!$B$2:$B$1000,$A193,'User flow template'!$L$2:$L$1000,"Blocked",'User flow template'!$D$2:$D$1000,$K$1)+COUNTIFS('User flow template'!$B$2:$B$1000,$A193,'User flow template'!$L$2:$L$1000,"Blocked",'User flow template'!$D$2:$D$1000,"All sites")))</f>
        <v/>
      </c>
      <c r="H193" s="0" t="str">
        <f aca="false">IF($A193="","",D193-E193-F193-G193)</f>
        <v/>
      </c>
    </row>
    <row r="194" customFormat="false" ht="15" hidden="false" customHeight="false" outlineLevel="0" collapsed="false">
      <c r="D194" s="0" t="str">
        <f aca="false">IF($A194="","",IF($K$1="All sites",COUNTIFS('User flow template'!$B$2:$B$1000,$A194),COUNTIFS('User flow template'!$B$2:$B$1000,$A194,'User flow template'!$D$2:$D$1000,$K$1)+COUNTIFS('User flow template'!$B$2:$B$1000,$A194,'User flow template'!$D$2:$D$1000,"All sites")))</f>
        <v/>
      </c>
      <c r="E194" s="49" t="str">
        <f aca="false">IF($A194="","",IF($K$1="All sites",COUNTIFS('User flow template'!$B$2:$B$1000,$A194,'User flow template'!$L$2:$L$1000,"Pass"),COUNTIFS('User flow template'!$B$2:$B$1000,$A194,'User flow template'!$L$2:$L$1000,"Pass",'User flow template'!$D$2:$D$1000,$K$1)+COUNTIFS('User flow template'!$B$2:$B$1000,$A194,'User flow template'!$L$2:$L$1000,"Pass",'User flow template'!$D$2:$D$1000,"All sites")))</f>
        <v/>
      </c>
      <c r="F194" s="0" t="str">
        <f aca="false">IF($A194="","",IF($K$1="All sites",COUNTIFS('User flow template'!$B$2:$B$1000,$A194,'User flow template'!$L$2:$L$1000,"Fail"),COUNTIFS('User flow template'!$B$2:$B$1000,$A194,'User flow template'!$L$2:$L$1000,"Fail",'User flow template'!$D$2:$D$1000,$K$1)+COUNTIFS('User flow template'!$B$2:$B$1000,$A194,'User flow template'!$L$2:$L$1000,"Fail",'User flow template'!$D$2:$D$1000,"All sites")))</f>
        <v/>
      </c>
      <c r="G194" s="0" t="str">
        <f aca="false">IF($A194="","",IF($K$1="All sites",COUNTIFS('User flow template'!$B$2:$B$1000,$A194,'User flow template'!$L$2:$L$1000,"Blocked"),COUNTIFS('User flow template'!$B$2:$B$1000,$A194,'User flow template'!$L$2:$L$1000,"Blocked",'User flow template'!$D$2:$D$1000,$K$1)+COUNTIFS('User flow template'!$B$2:$B$1000,$A194,'User flow template'!$L$2:$L$1000,"Blocked",'User flow template'!$D$2:$D$1000,"All sites")))</f>
        <v/>
      </c>
      <c r="H194" s="0" t="str">
        <f aca="false">IF($A194="","",D194-E194-F194-G194)</f>
        <v/>
      </c>
    </row>
    <row r="195" customFormat="false" ht="15" hidden="false" customHeight="false" outlineLevel="0" collapsed="false">
      <c r="D195" s="0" t="str">
        <f aca="false">IF($A195="","",IF($K$1="All sites",COUNTIFS('User flow template'!$B$2:$B$1000,$A195),COUNTIFS('User flow template'!$B$2:$B$1000,$A195,'User flow template'!$D$2:$D$1000,$K$1)+COUNTIFS('User flow template'!$B$2:$B$1000,$A195,'User flow template'!$D$2:$D$1000,"All sites")))</f>
        <v/>
      </c>
      <c r="E195" s="49" t="str">
        <f aca="false">IF($A195="","",IF($K$1="All sites",COUNTIFS('User flow template'!$B$2:$B$1000,$A195,'User flow template'!$L$2:$L$1000,"Pass"),COUNTIFS('User flow template'!$B$2:$B$1000,$A195,'User flow template'!$L$2:$L$1000,"Pass",'User flow template'!$D$2:$D$1000,$K$1)+COUNTIFS('User flow template'!$B$2:$B$1000,$A195,'User flow template'!$L$2:$L$1000,"Pass",'User flow template'!$D$2:$D$1000,"All sites")))</f>
        <v/>
      </c>
      <c r="F195" s="0" t="str">
        <f aca="false">IF($A195="","",IF($K$1="All sites",COUNTIFS('User flow template'!$B$2:$B$1000,$A195,'User flow template'!$L$2:$L$1000,"Fail"),COUNTIFS('User flow template'!$B$2:$B$1000,$A195,'User flow template'!$L$2:$L$1000,"Fail",'User flow template'!$D$2:$D$1000,$K$1)+COUNTIFS('User flow template'!$B$2:$B$1000,$A195,'User flow template'!$L$2:$L$1000,"Fail",'User flow template'!$D$2:$D$1000,"All sites")))</f>
        <v/>
      </c>
      <c r="G195" s="0" t="str">
        <f aca="false">IF($A195="","",IF($K$1="All sites",COUNTIFS('User flow template'!$B$2:$B$1000,$A195,'User flow template'!$L$2:$L$1000,"Blocked"),COUNTIFS('User flow template'!$B$2:$B$1000,$A195,'User flow template'!$L$2:$L$1000,"Blocked",'User flow template'!$D$2:$D$1000,$K$1)+COUNTIFS('User flow template'!$B$2:$B$1000,$A195,'User flow template'!$L$2:$L$1000,"Blocked",'User flow template'!$D$2:$D$1000,"All sites")))</f>
        <v/>
      </c>
      <c r="H195" s="0" t="str">
        <f aca="false">IF($A195="","",D195-E195-F195-G195)</f>
        <v/>
      </c>
    </row>
    <row r="196" customFormat="false" ht="15" hidden="false" customHeight="false" outlineLevel="0" collapsed="false">
      <c r="D196" s="0" t="str">
        <f aca="false">IF($A196="","",IF($K$1="All sites",COUNTIFS('User flow template'!$B$2:$B$1000,$A196),COUNTIFS('User flow template'!$B$2:$B$1000,$A196,'User flow template'!$D$2:$D$1000,$K$1)+COUNTIFS('User flow template'!$B$2:$B$1000,$A196,'User flow template'!$D$2:$D$1000,"All sites")))</f>
        <v/>
      </c>
      <c r="E196" s="49" t="str">
        <f aca="false">IF($A196="","",IF($K$1="All sites",COUNTIFS('User flow template'!$B$2:$B$1000,$A196,'User flow template'!$L$2:$L$1000,"Pass"),COUNTIFS('User flow template'!$B$2:$B$1000,$A196,'User flow template'!$L$2:$L$1000,"Pass",'User flow template'!$D$2:$D$1000,$K$1)+COUNTIFS('User flow template'!$B$2:$B$1000,$A196,'User flow template'!$L$2:$L$1000,"Pass",'User flow template'!$D$2:$D$1000,"All sites")))</f>
        <v/>
      </c>
      <c r="F196" s="0" t="str">
        <f aca="false">IF($A196="","",IF($K$1="All sites",COUNTIFS('User flow template'!$B$2:$B$1000,$A196,'User flow template'!$L$2:$L$1000,"Fail"),COUNTIFS('User flow template'!$B$2:$B$1000,$A196,'User flow template'!$L$2:$L$1000,"Fail",'User flow template'!$D$2:$D$1000,$K$1)+COUNTIFS('User flow template'!$B$2:$B$1000,$A196,'User flow template'!$L$2:$L$1000,"Fail",'User flow template'!$D$2:$D$1000,"All sites")))</f>
        <v/>
      </c>
      <c r="G196" s="0" t="str">
        <f aca="false">IF($A196="","",IF($K$1="All sites",COUNTIFS('User flow template'!$B$2:$B$1000,$A196,'User flow template'!$L$2:$L$1000,"Blocked"),COUNTIFS('User flow template'!$B$2:$B$1000,$A196,'User flow template'!$L$2:$L$1000,"Blocked",'User flow template'!$D$2:$D$1000,$K$1)+COUNTIFS('User flow template'!$B$2:$B$1000,$A196,'User flow template'!$L$2:$L$1000,"Blocked",'User flow template'!$D$2:$D$1000,"All sites")))</f>
        <v/>
      </c>
      <c r="H196" s="0" t="str">
        <f aca="false">IF($A196="","",D196-E196-F196-G196)</f>
        <v/>
      </c>
    </row>
    <row r="197" customFormat="false" ht="15" hidden="false" customHeight="false" outlineLevel="0" collapsed="false">
      <c r="D197" s="0" t="str">
        <f aca="false">IF($A197="","",IF($K$1="All sites",COUNTIFS('User flow template'!$B$2:$B$1000,$A197),COUNTIFS('User flow template'!$B$2:$B$1000,$A197,'User flow template'!$D$2:$D$1000,$K$1)+COUNTIFS('User flow template'!$B$2:$B$1000,$A197,'User flow template'!$D$2:$D$1000,"All sites")))</f>
        <v/>
      </c>
      <c r="E197" s="49" t="str">
        <f aca="false">IF($A197="","",IF($K$1="All sites",COUNTIFS('User flow template'!$B$2:$B$1000,$A197,'User flow template'!$L$2:$L$1000,"Pass"),COUNTIFS('User flow template'!$B$2:$B$1000,$A197,'User flow template'!$L$2:$L$1000,"Pass",'User flow template'!$D$2:$D$1000,$K$1)+COUNTIFS('User flow template'!$B$2:$B$1000,$A197,'User flow template'!$L$2:$L$1000,"Pass",'User flow template'!$D$2:$D$1000,"All sites")))</f>
        <v/>
      </c>
      <c r="F197" s="0" t="str">
        <f aca="false">IF($A197="","",IF($K$1="All sites",COUNTIFS('User flow template'!$B$2:$B$1000,$A197,'User flow template'!$L$2:$L$1000,"Fail"),COUNTIFS('User flow template'!$B$2:$B$1000,$A197,'User flow template'!$L$2:$L$1000,"Fail",'User flow template'!$D$2:$D$1000,$K$1)+COUNTIFS('User flow template'!$B$2:$B$1000,$A197,'User flow template'!$L$2:$L$1000,"Fail",'User flow template'!$D$2:$D$1000,"All sites")))</f>
        <v/>
      </c>
      <c r="G197" s="0" t="str">
        <f aca="false">IF($A197="","",IF($K$1="All sites",COUNTIFS('User flow template'!$B$2:$B$1000,$A197,'User flow template'!$L$2:$L$1000,"Blocked"),COUNTIFS('User flow template'!$B$2:$B$1000,$A197,'User flow template'!$L$2:$L$1000,"Blocked",'User flow template'!$D$2:$D$1000,$K$1)+COUNTIFS('User flow template'!$B$2:$B$1000,$A197,'User flow template'!$L$2:$L$1000,"Blocked",'User flow template'!$D$2:$D$1000,"All sites")))</f>
        <v/>
      </c>
      <c r="H197" s="0" t="str">
        <f aca="false">IF($A197="","",D197-E197-F197-G197)</f>
        <v/>
      </c>
    </row>
    <row r="198" customFormat="false" ht="15" hidden="false" customHeight="false" outlineLevel="0" collapsed="false">
      <c r="D198" s="0" t="str">
        <f aca="false">IF($A198="","",IF($K$1="All sites",COUNTIFS('User flow template'!$B$2:$B$1000,$A198),COUNTIFS('User flow template'!$B$2:$B$1000,$A198,'User flow template'!$D$2:$D$1000,$K$1)+COUNTIFS('User flow template'!$B$2:$B$1000,$A198,'User flow template'!$D$2:$D$1000,"All sites")))</f>
        <v/>
      </c>
      <c r="E198" s="49" t="str">
        <f aca="false">IF($A198="","",IF($K$1="All sites",COUNTIFS('User flow template'!$B$2:$B$1000,$A198,'User flow template'!$L$2:$L$1000,"Pass"),COUNTIFS('User flow template'!$B$2:$B$1000,$A198,'User flow template'!$L$2:$L$1000,"Pass",'User flow template'!$D$2:$D$1000,$K$1)+COUNTIFS('User flow template'!$B$2:$B$1000,$A198,'User flow template'!$L$2:$L$1000,"Pass",'User flow template'!$D$2:$D$1000,"All sites")))</f>
        <v/>
      </c>
      <c r="F198" s="0" t="str">
        <f aca="false">IF($A198="","",IF($K$1="All sites",COUNTIFS('User flow template'!$B$2:$B$1000,$A198,'User flow template'!$L$2:$L$1000,"Fail"),COUNTIFS('User flow template'!$B$2:$B$1000,$A198,'User flow template'!$L$2:$L$1000,"Fail",'User flow template'!$D$2:$D$1000,$K$1)+COUNTIFS('User flow template'!$B$2:$B$1000,$A198,'User flow template'!$L$2:$L$1000,"Fail",'User flow template'!$D$2:$D$1000,"All sites")))</f>
        <v/>
      </c>
      <c r="G198" s="0" t="str">
        <f aca="false">IF($A198="","",IF($K$1="All sites",COUNTIFS('User flow template'!$B$2:$B$1000,$A198,'User flow template'!$L$2:$L$1000,"Blocked"),COUNTIFS('User flow template'!$B$2:$B$1000,$A198,'User flow template'!$L$2:$L$1000,"Blocked",'User flow template'!$D$2:$D$1000,$K$1)+COUNTIFS('User flow template'!$B$2:$B$1000,$A198,'User flow template'!$L$2:$L$1000,"Blocked",'User flow template'!$D$2:$D$1000,"All sites")))</f>
        <v/>
      </c>
      <c r="H198" s="0" t="str">
        <f aca="false">IF($A198="","",D198-E198-F198-G198)</f>
        <v/>
      </c>
    </row>
    <row r="199" customFormat="false" ht="15" hidden="false" customHeight="false" outlineLevel="0" collapsed="false">
      <c r="D199" s="0" t="str">
        <f aca="false">IF($A199="","",IF($K$1="All sites",COUNTIFS('User flow template'!$B$2:$B$1000,$A199),COUNTIFS('User flow template'!$B$2:$B$1000,$A199,'User flow template'!$D$2:$D$1000,$K$1)+COUNTIFS('User flow template'!$B$2:$B$1000,$A199,'User flow template'!$D$2:$D$1000,"All sites")))</f>
        <v/>
      </c>
      <c r="E199" s="49" t="str">
        <f aca="false">IF($A199="","",IF($K$1="All sites",COUNTIFS('User flow template'!$B$2:$B$1000,$A199,'User flow template'!$L$2:$L$1000,"Pass"),COUNTIFS('User flow template'!$B$2:$B$1000,$A199,'User flow template'!$L$2:$L$1000,"Pass",'User flow template'!$D$2:$D$1000,$K$1)+COUNTIFS('User flow template'!$B$2:$B$1000,$A199,'User flow template'!$L$2:$L$1000,"Pass",'User flow template'!$D$2:$D$1000,"All sites")))</f>
        <v/>
      </c>
      <c r="F199" s="0" t="str">
        <f aca="false">IF($A199="","",IF($K$1="All sites",COUNTIFS('User flow template'!$B$2:$B$1000,$A199,'User flow template'!$L$2:$L$1000,"Fail"),COUNTIFS('User flow template'!$B$2:$B$1000,$A199,'User flow template'!$L$2:$L$1000,"Fail",'User flow template'!$D$2:$D$1000,$K$1)+COUNTIFS('User flow template'!$B$2:$B$1000,$A199,'User flow template'!$L$2:$L$1000,"Fail",'User flow template'!$D$2:$D$1000,"All sites")))</f>
        <v/>
      </c>
      <c r="G199" s="0" t="str">
        <f aca="false">IF($A199="","",IF($K$1="All sites",COUNTIFS('User flow template'!$B$2:$B$1000,$A199,'User flow template'!$L$2:$L$1000,"Blocked"),COUNTIFS('User flow template'!$B$2:$B$1000,$A199,'User flow template'!$L$2:$L$1000,"Blocked",'User flow template'!$D$2:$D$1000,$K$1)+COUNTIFS('User flow template'!$B$2:$B$1000,$A199,'User flow template'!$L$2:$L$1000,"Blocked",'User flow template'!$D$2:$D$1000,"All sites")))</f>
        <v/>
      </c>
      <c r="H199" s="0" t="str">
        <f aca="false">IF($A199="","",D199-E199-F199-G199)</f>
        <v/>
      </c>
    </row>
    <row r="200" customFormat="false" ht="15" hidden="false" customHeight="false" outlineLevel="0" collapsed="false">
      <c r="D200" s="0" t="str">
        <f aca="false">IF($A200="","",IF($K$1="All sites",COUNTIFS('User flow template'!$B$2:$B$1000,$A200),COUNTIFS('User flow template'!$B$2:$B$1000,$A200,'User flow template'!$D$2:$D$1000,$K$1)+COUNTIFS('User flow template'!$B$2:$B$1000,$A200,'User flow template'!$D$2:$D$1000,"All sites")))</f>
        <v/>
      </c>
      <c r="E200" s="49" t="str">
        <f aca="false">IF($A200="","",IF($K$1="All sites",COUNTIFS('User flow template'!$B$2:$B$1000,$A200,'User flow template'!$L$2:$L$1000,"Pass"),COUNTIFS('User flow template'!$B$2:$B$1000,$A200,'User flow template'!$L$2:$L$1000,"Pass",'User flow template'!$D$2:$D$1000,$K$1)+COUNTIFS('User flow template'!$B$2:$B$1000,$A200,'User flow template'!$L$2:$L$1000,"Pass",'User flow template'!$D$2:$D$1000,"All sites")))</f>
        <v/>
      </c>
      <c r="F200" s="0" t="str">
        <f aca="false">IF($A200="","",IF($K$1="All sites",COUNTIFS('User flow template'!$B$2:$B$1000,$A200,'User flow template'!$L$2:$L$1000,"Fail"),COUNTIFS('User flow template'!$B$2:$B$1000,$A200,'User flow template'!$L$2:$L$1000,"Fail",'User flow template'!$D$2:$D$1000,$K$1)+COUNTIFS('User flow template'!$B$2:$B$1000,$A200,'User flow template'!$L$2:$L$1000,"Fail",'User flow template'!$D$2:$D$1000,"All sites")))</f>
        <v/>
      </c>
      <c r="G200" s="0" t="str">
        <f aca="false">IF($A200="","",IF($K$1="All sites",COUNTIFS('User flow template'!$B$2:$B$1000,$A200,'User flow template'!$L$2:$L$1000,"Blocked"),COUNTIFS('User flow template'!$B$2:$B$1000,$A200,'User flow template'!$L$2:$L$1000,"Blocked",'User flow template'!$D$2:$D$1000,$K$1)+COUNTIFS('User flow template'!$B$2:$B$1000,$A200,'User flow template'!$L$2:$L$1000,"Blocked",'User flow template'!$D$2:$D$1000,"All sites")))</f>
        <v/>
      </c>
      <c r="H200" s="0" t="str">
        <f aca="false">IF($A200="","",D200-E200-F200-G200)</f>
        <v/>
      </c>
    </row>
  </sheetData>
  <conditionalFormatting sqref="F2:F200">
    <cfRule type="cellIs" priority="2" operator="greaterThan" aboveAverage="0" equalAverage="0" bottom="0" percent="0" rank="0" text="" dxfId="18">
      <formula>0</formula>
    </cfRule>
  </conditionalFormatting>
  <conditionalFormatting sqref="E2:E200">
    <cfRule type="cellIs" priority="3" operator="greaterThan" aboveAverage="0" equalAverage="0" bottom="0" percent="0" rank="0" text="" dxfId="17">
      <formula>0</formula>
    </cfRule>
  </conditionalFormatting>
  <dataValidations count="2">
    <dataValidation allowBlank="false" errorStyle="stop" operator="between" showDropDown="false" showErrorMessage="false" showInputMessage="false" sqref="K1" type="list">
      <formula1>"All sites,Mosul,Matsapha,Bunia"</formula1>
      <formula2>0</formula2>
    </dataValidation>
    <dataValidation allowBlank="true" errorStyle="stop" operator="between" showDropDown="false" showErrorMessage="false" showInputMessage="false" sqref="C2:C200" type="list">
      <formula1>"Platform,Registration,Clinical,Interoperability,Reporting"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17" activeCellId="0" sqref="H17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6.42"/>
    <col collapsed="false" customWidth="true" hidden="false" outlineLevel="0" max="10" min="2" style="0" width="21.57"/>
  </cols>
  <sheetData>
    <row r="1" s="21" customFormat="true" ht="14.25" hidden="false" customHeight="false" outlineLevel="0" collapsed="false">
      <c r="A1" s="21" t="s">
        <v>309</v>
      </c>
      <c r="B1" s="21" t="s">
        <v>310</v>
      </c>
      <c r="C1" s="21" t="s">
        <v>311</v>
      </c>
      <c r="D1" s="21" t="s">
        <v>53</v>
      </c>
      <c r="E1" s="21" t="s">
        <v>312</v>
      </c>
      <c r="F1" s="21" t="s">
        <v>313</v>
      </c>
      <c r="G1" s="21" t="s">
        <v>314</v>
      </c>
      <c r="H1" s="21" t="s">
        <v>315</v>
      </c>
    </row>
    <row r="2" customFormat="false" ht="14.25" hidden="false" customHeight="false" outlineLevel="0" collapsed="false">
      <c r="A2" s="0" t="s">
        <v>316</v>
      </c>
      <c r="B2" s="50" t="s">
        <v>317</v>
      </c>
      <c r="C2" s="50" t="s">
        <v>317</v>
      </c>
      <c r="D2" s="51" t="s">
        <v>317</v>
      </c>
      <c r="E2" s="51" t="s">
        <v>317</v>
      </c>
      <c r="F2" s="50" t="s">
        <v>317</v>
      </c>
      <c r="G2" s="52"/>
      <c r="H2" s="51" t="s">
        <v>317</v>
      </c>
    </row>
    <row r="3" customFormat="false" ht="14.25" hidden="false" customHeight="false" outlineLevel="0" collapsed="false">
      <c r="A3" s="0" t="s">
        <v>318</v>
      </c>
      <c r="B3" s="50" t="s">
        <v>317</v>
      </c>
      <c r="C3" s="50" t="s">
        <v>317</v>
      </c>
      <c r="D3" s="51" t="s">
        <v>317</v>
      </c>
      <c r="E3" s="51" t="s">
        <v>317</v>
      </c>
      <c r="F3" s="50" t="s">
        <v>317</v>
      </c>
      <c r="G3" s="52"/>
      <c r="H3" s="51" t="s">
        <v>317</v>
      </c>
    </row>
    <row r="4" customFormat="false" ht="14.25" hidden="false" customHeight="false" outlineLevel="0" collapsed="false">
      <c r="A4" s="0" t="s">
        <v>319</v>
      </c>
      <c r="B4" s="50" t="s">
        <v>317</v>
      </c>
      <c r="C4" s="50" t="s">
        <v>317</v>
      </c>
      <c r="D4" s="51" t="s">
        <v>317</v>
      </c>
      <c r="E4" s="51" t="s">
        <v>317</v>
      </c>
      <c r="F4" s="50" t="s">
        <v>317</v>
      </c>
      <c r="G4" s="52"/>
      <c r="H4" s="51" t="s">
        <v>317</v>
      </c>
    </row>
    <row r="5" customFormat="false" ht="14.25" hidden="false" customHeight="false" outlineLevel="0" collapsed="false">
      <c r="A5" s="0" t="s">
        <v>320</v>
      </c>
      <c r="B5" s="50" t="s">
        <v>317</v>
      </c>
      <c r="C5" s="50" t="s">
        <v>317</v>
      </c>
      <c r="D5" s="51" t="s">
        <v>317</v>
      </c>
      <c r="E5" s="51" t="s">
        <v>317</v>
      </c>
      <c r="F5" s="50" t="s">
        <v>317</v>
      </c>
      <c r="G5" s="52"/>
      <c r="H5" s="51" t="s">
        <v>317</v>
      </c>
    </row>
    <row r="6" customFormat="false" ht="14.25" hidden="false" customHeight="false" outlineLevel="0" collapsed="false">
      <c r="A6" s="0" t="s">
        <v>321</v>
      </c>
      <c r="B6" s="50" t="s">
        <v>317</v>
      </c>
      <c r="C6" s="50" t="s">
        <v>317</v>
      </c>
      <c r="D6" s="51" t="s">
        <v>317</v>
      </c>
      <c r="E6" s="51" t="s">
        <v>317</v>
      </c>
      <c r="F6" s="50" t="s">
        <v>317</v>
      </c>
      <c r="G6" s="51" t="s">
        <v>317</v>
      </c>
      <c r="H6" s="51" t="s">
        <v>317</v>
      </c>
    </row>
    <row r="7" customFormat="false" ht="14.25" hidden="false" customHeight="false" outlineLevel="0" collapsed="false">
      <c r="A7" s="0" t="s">
        <v>322</v>
      </c>
      <c r="B7" s="50" t="s">
        <v>317</v>
      </c>
      <c r="C7" s="50" t="s">
        <v>317</v>
      </c>
      <c r="D7" s="51" t="s">
        <v>317</v>
      </c>
      <c r="E7" s="51" t="s">
        <v>317</v>
      </c>
      <c r="F7" s="50" t="s">
        <v>317</v>
      </c>
      <c r="G7" s="52"/>
      <c r="H7" s="51" t="s">
        <v>317</v>
      </c>
    </row>
    <row r="8" customFormat="false" ht="14.25" hidden="false" customHeight="false" outlineLevel="0" collapsed="false">
      <c r="A8" s="42" t="s">
        <v>323</v>
      </c>
      <c r="B8" s="42" t="s">
        <v>324</v>
      </c>
      <c r="D8" s="42" t="s">
        <v>325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1B1B"/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6796875" defaultRowHeight="14.25" zeroHeight="false" outlineLevelRow="0" outlineLevelCol="0"/>
  <cols>
    <col collapsed="false" customWidth="true" hidden="false" outlineLevel="0" max="1" min="1" style="25" width="28.42"/>
    <col collapsed="false" customWidth="true" hidden="false" outlineLevel="0" max="2" min="2" style="25" width="76.57"/>
    <col collapsed="false" customWidth="true" hidden="false" outlineLevel="0" max="3" min="3" style="25" width="60.42"/>
    <col collapsed="false" customWidth="true" hidden="false" outlineLevel="0" max="4" min="4" style="25" width="62.57"/>
    <col collapsed="false" customWidth="true" hidden="false" outlineLevel="0" max="16384" min="16384" style="0" width="9.42"/>
  </cols>
  <sheetData>
    <row r="1" customFormat="false" ht="14.25" hidden="false" customHeight="false" outlineLevel="0" collapsed="false">
      <c r="A1" s="53" t="s">
        <v>326</v>
      </c>
      <c r="B1" s="53" t="s">
        <v>327</v>
      </c>
      <c r="C1" s="53" t="s">
        <v>328</v>
      </c>
      <c r="D1" s="53" t="s">
        <v>329</v>
      </c>
    </row>
    <row r="2" customFormat="false" ht="14.25" hidden="false" customHeight="false" outlineLevel="0" collapsed="false">
      <c r="A2" s="54" t="s">
        <v>330</v>
      </c>
      <c r="B2" s="55" t="s">
        <v>331</v>
      </c>
      <c r="C2" s="56"/>
      <c r="D2" s="56"/>
    </row>
    <row r="3" customFormat="false" ht="14.25" hidden="false" customHeight="false" outlineLevel="0" collapsed="false">
      <c r="A3" s="54"/>
      <c r="B3" s="55" t="s">
        <v>332</v>
      </c>
      <c r="C3" s="56"/>
      <c r="D3" s="56"/>
    </row>
    <row r="4" customFormat="false" ht="28.5" hidden="false" customHeight="true" outlineLevel="0" collapsed="false">
      <c r="A4" s="54" t="s">
        <v>333</v>
      </c>
      <c r="B4" s="55" t="s">
        <v>334</v>
      </c>
      <c r="C4" s="56" t="s">
        <v>335</v>
      </c>
      <c r="D4" s="56" t="s">
        <v>336</v>
      </c>
    </row>
    <row r="5" customFormat="false" ht="28.5" hidden="false" customHeight="true" outlineLevel="0" collapsed="false">
      <c r="A5" s="56"/>
      <c r="B5" s="55" t="s">
        <v>337</v>
      </c>
      <c r="C5" s="56" t="s">
        <v>338</v>
      </c>
      <c r="D5" s="55" t="s">
        <v>339</v>
      </c>
    </row>
    <row r="6" customFormat="false" ht="28.5" hidden="false" customHeight="true" outlineLevel="0" collapsed="false">
      <c r="A6" s="56"/>
      <c r="B6" s="55" t="s">
        <v>340</v>
      </c>
      <c r="C6" s="56" t="s">
        <v>341</v>
      </c>
      <c r="D6" s="55" t="s">
        <v>342</v>
      </c>
    </row>
    <row r="7" customFormat="false" ht="28.5" hidden="false" customHeight="true" outlineLevel="0" collapsed="false">
      <c r="A7" s="56"/>
      <c r="B7" s="55"/>
      <c r="C7" s="56" t="s">
        <v>343</v>
      </c>
      <c r="D7" s="55"/>
    </row>
    <row r="8" customFormat="false" ht="14.25" hidden="false" customHeight="false" outlineLevel="0" collapsed="false">
      <c r="A8" s="56"/>
      <c r="B8" s="55"/>
      <c r="C8" s="56" t="s">
        <v>344</v>
      </c>
      <c r="D8" s="55"/>
    </row>
    <row r="9" customFormat="false" ht="14.25" hidden="false" customHeight="false" outlineLevel="0" collapsed="false">
      <c r="A9" s="56"/>
      <c r="B9" s="55"/>
      <c r="C9" s="56" t="s">
        <v>345</v>
      </c>
      <c r="D9" s="55"/>
    </row>
    <row r="10" customFormat="false" ht="14.25" hidden="false" customHeight="false" outlineLevel="0" collapsed="false">
      <c r="A10" s="54" t="s">
        <v>346</v>
      </c>
      <c r="B10" s="55" t="s">
        <v>347</v>
      </c>
      <c r="C10" s="56"/>
      <c r="D10" s="56"/>
    </row>
    <row r="11" customFormat="false" ht="14.25" hidden="false" customHeight="false" outlineLevel="0" collapsed="false">
      <c r="A11" s="54" t="s">
        <v>348</v>
      </c>
      <c r="B11" s="55" t="s">
        <v>349</v>
      </c>
      <c r="C11" s="56"/>
      <c r="D11" s="56"/>
    </row>
    <row r="12" customFormat="false" ht="14.25" hidden="false" customHeight="false" outlineLevel="0" collapsed="false">
      <c r="A12" s="54" t="s">
        <v>350</v>
      </c>
      <c r="B12" s="57" t="s">
        <v>351</v>
      </c>
      <c r="C12" s="56"/>
      <c r="D12" s="56"/>
    </row>
    <row r="13" customFormat="false" ht="14.25" hidden="false" customHeight="false" outlineLevel="0" collapsed="false">
      <c r="A13" s="56"/>
      <c r="B13" s="58" t="s">
        <v>352</v>
      </c>
      <c r="C13" s="56"/>
      <c r="D13" s="56"/>
    </row>
    <row r="14" customFormat="false" ht="14.25" hidden="false" customHeight="false" outlineLevel="0" collapsed="false">
      <c r="A14" s="56"/>
      <c r="B14" s="59" t="s">
        <v>353</v>
      </c>
      <c r="C14" s="56"/>
      <c r="D14" s="56"/>
    </row>
    <row r="15" customFormat="false" ht="14.25" hidden="false" customHeight="false" outlineLevel="0" collapsed="false">
      <c r="A15" s="56"/>
      <c r="B15" s="60" t="s">
        <v>354</v>
      </c>
      <c r="C15" s="56"/>
      <c r="D15" s="56"/>
    </row>
    <row r="16" customFormat="false" ht="14.25" hidden="false" customHeight="false" outlineLevel="0" collapsed="false">
      <c r="A16" s="56"/>
      <c r="B16" s="61" t="s">
        <v>355</v>
      </c>
      <c r="C16" s="56"/>
      <c r="D16" s="56"/>
    </row>
    <row r="17" customFormat="false" ht="14.25" hidden="false" customHeight="false" outlineLevel="0" collapsed="false">
      <c r="A17" s="56"/>
      <c r="B17" s="56"/>
      <c r="C17" s="56"/>
      <c r="D17" s="56"/>
    </row>
    <row r="18" customFormat="false" ht="14.25" hidden="false" customHeight="false" outlineLevel="0" collapsed="false">
      <c r="A18" s="55" t="s">
        <v>356</v>
      </c>
      <c r="B18" s="62"/>
      <c r="C18" s="56"/>
      <c r="D18" s="56"/>
    </row>
    <row r="19" customFormat="false" ht="14.25" hidden="false" customHeight="false" outlineLevel="0" collapsed="false">
      <c r="A19" s="55" t="s">
        <v>357</v>
      </c>
      <c r="B19" s="63"/>
      <c r="C19" s="56"/>
      <c r="D19" s="56"/>
    </row>
    <row r="20" customFormat="false" ht="14.25" hidden="false" customHeight="false" outlineLevel="0" collapsed="false">
      <c r="A20" s="55" t="s">
        <v>358</v>
      </c>
      <c r="B20" s="64"/>
      <c r="C20" s="56"/>
      <c r="D20" s="56"/>
    </row>
    <row r="21" customFormat="false" ht="15.75" hidden="false" customHeight="true" outlineLevel="0" collapsed="false">
      <c r="A21" s="55" t="s">
        <v>359</v>
      </c>
      <c r="B21" s="65"/>
      <c r="C21" s="56"/>
      <c r="D21" s="56"/>
    </row>
    <row r="22" customFormat="false" ht="14.25" hidden="false" customHeight="false" outlineLevel="0" collapsed="false">
      <c r="A22" s="55" t="s">
        <v>360</v>
      </c>
      <c r="B22" s="61"/>
      <c r="C22" s="56"/>
      <c r="D22" s="56"/>
    </row>
    <row r="23" customFormat="false" ht="14.25" hidden="false" customHeight="false" outlineLevel="0" collapsed="false">
      <c r="A23" s="56"/>
      <c r="B23" s="56"/>
      <c r="C23" s="56"/>
      <c r="D23" s="56"/>
    </row>
    <row r="24" customFormat="false" ht="14.25" hidden="false" customHeight="false" outlineLevel="0" collapsed="false">
      <c r="A24" s="55" t="s">
        <v>361</v>
      </c>
      <c r="B24" s="66"/>
      <c r="C24" s="56"/>
      <c r="D24" s="56"/>
    </row>
    <row r="25" customFormat="false" ht="14.25" hidden="false" customHeight="false" outlineLevel="0" collapsed="false">
      <c r="A25" s="55" t="s">
        <v>362</v>
      </c>
      <c r="B25" s="67"/>
      <c r="C25" s="56"/>
      <c r="D25" s="56"/>
    </row>
    <row r="26" customFormat="false" ht="14.25" hidden="false" customHeight="false" outlineLevel="0" collapsed="false">
      <c r="A26" s="55" t="s">
        <v>363</v>
      </c>
      <c r="B26" s="68"/>
      <c r="C26" s="56"/>
      <c r="D26" s="56"/>
    </row>
    <row r="27" customFormat="false" ht="14.25" hidden="false" customHeight="false" outlineLevel="0" collapsed="false">
      <c r="A27" s="55" t="s">
        <v>364</v>
      </c>
      <c r="B27" s="69"/>
      <c r="C27" s="56"/>
      <c r="D27" s="56"/>
    </row>
    <row r="28" customFormat="false" ht="14.25" hidden="false" customHeight="false" outlineLevel="0" collapsed="false">
      <c r="A28" s="55" t="s">
        <v>365</v>
      </c>
      <c r="B28" s="70"/>
      <c r="C28" s="56"/>
      <c r="D28" s="56"/>
    </row>
    <row r="30" customFormat="false" ht="55.2" hidden="false" customHeight="false" outlineLevel="0" collapsed="false">
      <c r="A30" s="46" t="s">
        <v>300</v>
      </c>
      <c r="B30" s="42" t="s">
        <v>366</v>
      </c>
      <c r="C30" s="42" t="s">
        <v>208</v>
      </c>
      <c r="D30" s="42" t="s">
        <v>367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2022-10-25T13:22:45Z</dcterms:created>
  <dc:creator>openpyxl</dc:creator>
  <dc:description/>
  <dc:language>en-US</dc:language>
  <cp:lastModifiedBy/>
  <dcterms:modified xsi:type="dcterms:W3CDTF">2026-10-14T14:14:22Z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0x010100BF2C8C6A1E2D81458FD4046460D65507</vt:lpwstr>
  </property>
  <property fmtid="{D5CDD505-2E9C-101B-9397-08002B2CF9AE}" pid="4" name="MediaServiceImageTags">
    <vt:lpwstr/>
  </property>
  <property fmtid="{D5CDD505-2E9C-101B-9397-08002B2CF9AE}" pid="5" name="TemplateUrl">
    <vt:lpwstr/>
  </property>
  <property fmtid="{D5CDD505-2E9C-101B-9397-08002B2CF9AE}" pid="6" name="TriggerFlowInfo">
    <vt:lpwstr/>
  </property>
  <property fmtid="{D5CDD505-2E9C-101B-9397-08002B2CF9AE}" pid="7" name="_ExtendedDescription">
    <vt:lpwstr/>
  </property>
  <property fmtid="{D5CDD505-2E9C-101B-9397-08002B2CF9AE}" pid="8" name="xd_ProgID">
    <vt:lpwstr/>
  </property>
  <property fmtid="{D5CDD505-2E9C-101B-9397-08002B2CF9AE}" pid="9" name="xd_Signature">
    <vt:bool>0</vt:bool>
  </property>
</Properties>
</file>